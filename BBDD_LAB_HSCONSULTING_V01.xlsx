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_ARTÍCULOS" sheetId="1" state="visible" r:id="rId3"/>
    <sheet name="PROVEEDORES" sheetId="2" state="visible" r:id="rId4"/>
    <sheet name="REGISTRO_PEDIDOS" sheetId="3" state="visible" r:id="rId5"/>
    <sheet name="VALIDACIÓN_ALBARANES" sheetId="4" state="visible" r:id="rId6"/>
    <sheet name="INSTRUCCI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<sst xmlns="http://schemas.openxmlformats.org/spreadsheetml/2006/main" count="959" uniqueCount="565">
  <si>
    <t xml:space="preserve">HS LAB ANALYSIS  ·  CATÁLOGO DE ARTÍCULOS DEL LABORATORIO</t>
  </si>
  <si>
    <t xml:space="preserve">Base de Datos de Compras  ·  Precios y Stock  ·  Versión 1.1  ·  16/03/2026</t>
  </si>
  <si>
    <t xml:space="preserve">CÓD.
ARTÍCULO</t>
  </si>
  <si>
    <t xml:space="preserve">DESCRIPCIÓN DEL
ARTÍCULO</t>
  </si>
  <si>
    <t xml:space="preserve">CATEGORÍA</t>
  </si>
  <si>
    <t xml:space="preserve">PROVEEDOR</t>
  </si>
  <si>
    <t xml:space="preserve">MARCA</t>
  </si>
  <si>
    <t xml:space="preserve">REF.
PROVEEDOR</t>
  </si>
  <si>
    <t xml:space="preserve">UNIDAD
DE MEDIDA</t>
  </si>
  <si>
    <t xml:space="preserve">PRECIO UNIT.
SIN IVA (€)</t>
  </si>
  <si>
    <t xml:space="preserve">% IVA</t>
  </si>
  <si>
    <t xml:space="preserve">PRECIO UNIT.
CON IVA (€)</t>
  </si>
  <si>
    <t xml:space="preserve">STOCK
MÍNIMO</t>
  </si>
  <si>
    <t xml:space="preserve">UNIDD. POR
PEDIDO</t>
  </si>
  <si>
    <t xml:space="preserve">ACTIVO
(S/N)</t>
  </si>
  <si>
    <t xml:space="preserve">OBSERVACIONES</t>
  </si>
  <si>
    <t xml:space="preserve">LAB-001</t>
  </si>
  <si>
    <t xml:space="preserve">Agar R2A para recuento heterótrofo en agua</t>
  </si>
  <si>
    <t xml:space="preserve">Medios de Cultivo</t>
  </si>
  <si>
    <t xml:space="preserve">Cultimed</t>
  </si>
  <si>
    <t xml:space="preserve">Panreac</t>
  </si>
  <si>
    <t xml:space="preserve">212264.1210</t>
  </si>
  <si>
    <t xml:space="preserve">Frasco 500g</t>
  </si>
  <si>
    <t xml:space="preserve">S</t>
  </si>
  <si>
    <t xml:space="preserve">Medio diferencial para agua</t>
  </si>
  <si>
    <t xml:space="preserve">LAB-002</t>
  </si>
  <si>
    <t xml:space="preserve">Agar Slanetz-Bartley (Enterococcus)</t>
  </si>
  <si>
    <t xml:space="preserve">BioMérieux</t>
  </si>
  <si>
    <t xml:space="preserve">43011</t>
  </si>
  <si>
    <t xml:space="preserve">Detección Enterococcus en agua</t>
  </si>
  <si>
    <t xml:space="preserve">LAB-003</t>
  </si>
  <si>
    <t xml:space="preserve">Caldo Tripticasa Soya (TSB)</t>
  </si>
  <si>
    <t xml:space="preserve">214046.1210</t>
  </si>
  <si>
    <t xml:space="preserve">Caldo de enriquecimiento universal</t>
  </si>
  <si>
    <t xml:space="preserve">LAB-004</t>
  </si>
  <si>
    <t xml:space="preserve">Agar Columbia + 5% Sangre Carnero (placas)</t>
  </si>
  <si>
    <t xml:space="preserve">43049</t>
  </si>
  <si>
    <t xml:space="preserve">Caja 20 placas</t>
  </si>
  <si>
    <t xml:space="preserve">Placas listas para uso</t>
  </si>
  <si>
    <t xml:space="preserve">LAB-005</t>
  </si>
  <si>
    <t xml:space="preserve">BCYE-alpha (Agar para Legionella)</t>
  </si>
  <si>
    <t xml:space="preserve">Bio-Rad</t>
  </si>
  <si>
    <t xml:space="preserve">356208</t>
  </si>
  <si>
    <t xml:space="preserve">Medio selectivo Legionella ISO 11731</t>
  </si>
  <si>
    <t xml:space="preserve">LAB-006</t>
  </si>
  <si>
    <t xml:space="preserve">Agar CLED (orina)</t>
  </si>
  <si>
    <t xml:space="preserve">212044.1210</t>
  </si>
  <si>
    <t xml:space="preserve">Recuento bacterias en orina</t>
  </si>
  <si>
    <t xml:space="preserve">LAB-007</t>
  </si>
  <si>
    <t xml:space="preserve">Placas Petri Ø 90mm estériles</t>
  </si>
  <si>
    <t xml:space="preserve">Consumibles</t>
  </si>
  <si>
    <t xml:space="preserve">VWR</t>
  </si>
  <si>
    <t xml:space="preserve">391-0883</t>
  </si>
  <si>
    <t xml:space="preserve">Bolsa 20 ud</t>
  </si>
  <si>
    <t xml:space="preserve">Uso microbiología</t>
  </si>
  <si>
    <t xml:space="preserve">LAB-008</t>
  </si>
  <si>
    <t xml:space="preserve">Tubos Falcon 50ml estériles</t>
  </si>
  <si>
    <t xml:space="preserve">Thermo</t>
  </si>
  <si>
    <t xml:space="preserve">Thermo Fisher</t>
  </si>
  <si>
    <t xml:space="preserve">339652</t>
  </si>
  <si>
    <t xml:space="preserve">Caja 500 ud</t>
  </si>
  <si>
    <t xml:space="preserve">LAB-009</t>
  </si>
  <si>
    <t xml:space="preserve">Tubos Falcon 15ml estériles</t>
  </si>
  <si>
    <t xml:space="preserve">339650</t>
  </si>
  <si>
    <t xml:space="preserve">LAB-010</t>
  </si>
  <si>
    <t xml:space="preserve">Puntas micropipeta 1000µl amarillas</t>
  </si>
  <si>
    <t xml:space="preserve">732-2389</t>
  </si>
  <si>
    <t xml:space="preserve">Caja 1000 ud</t>
  </si>
  <si>
    <t xml:space="preserve">LAB-011</t>
  </si>
  <si>
    <t xml:space="preserve">Puntas micropipeta 200µl amarillas</t>
  </si>
  <si>
    <t xml:space="preserve">732-2388</t>
  </si>
  <si>
    <t xml:space="preserve">LAB-012</t>
  </si>
  <si>
    <t xml:space="preserve">Puntas micropipeta 10µl blancas</t>
  </si>
  <si>
    <t xml:space="preserve">732-2387</t>
  </si>
  <si>
    <t xml:space="preserve">LAB-013</t>
  </si>
  <si>
    <t xml:space="preserve">Guantes nitrilo talla M (sin polvo)</t>
  </si>
  <si>
    <t xml:space="preserve">EPI</t>
  </si>
  <si>
    <t xml:space="preserve">Mercaplast</t>
  </si>
  <si>
    <t xml:space="preserve">Nitrile Pro</t>
  </si>
  <si>
    <t xml:space="preserve">NP-M-100</t>
  </si>
  <si>
    <t xml:space="preserve">Caja 100 ud</t>
  </si>
  <si>
    <t xml:space="preserve">EPI obligatorio manipulación muestras</t>
  </si>
  <si>
    <t xml:space="preserve">LAB-014</t>
  </si>
  <si>
    <t xml:space="preserve">Guantes nitrilo talla L (sin polvo)</t>
  </si>
  <si>
    <t xml:space="preserve">NP-L-100</t>
  </si>
  <si>
    <t xml:space="preserve">LAB-015</t>
  </si>
  <si>
    <t xml:space="preserve">Mascarilla FFP2 sin válvula</t>
  </si>
  <si>
    <t xml:space="preserve">Protekta</t>
  </si>
  <si>
    <t xml:space="preserve">3M</t>
  </si>
  <si>
    <t xml:space="preserve">3M-8822</t>
  </si>
  <si>
    <t xml:space="preserve">Caja 20 ud</t>
  </si>
  <si>
    <t xml:space="preserve">Protección aerosoles biológicos</t>
  </si>
  <si>
    <t xml:space="preserve">LAB-016</t>
  </si>
  <si>
    <t xml:space="preserve">Reactivo DPD nº1 cloro libre (polvo)</t>
  </si>
  <si>
    <t xml:space="preserve">Reactivos Químicos</t>
  </si>
  <si>
    <t xml:space="preserve">Hanna Inst.</t>
  </si>
  <si>
    <t xml:space="preserve">Hanna</t>
  </si>
  <si>
    <t xml:space="preserve">HI-93700-01</t>
  </si>
  <si>
    <t xml:space="preserve">Sobre 100 dosis</t>
  </si>
  <si>
    <t xml:space="preserve">Determinación cloro libre piscinas/agua</t>
  </si>
  <si>
    <t xml:space="preserve">LAB-017</t>
  </si>
  <si>
    <t xml:space="preserve">Reactivo DPD nº3 cloro total (polvo)</t>
  </si>
  <si>
    <t xml:space="preserve">HI-93710-01</t>
  </si>
  <si>
    <t xml:space="preserve">Determinación cloro total</t>
  </si>
  <si>
    <t xml:space="preserve">LAB-018</t>
  </si>
  <si>
    <t xml:space="preserve">Estándar pH 4.01 (solución tampón)</t>
  </si>
  <si>
    <t xml:space="preserve">Crison</t>
  </si>
  <si>
    <t xml:space="preserve">11-40-04</t>
  </si>
  <si>
    <t xml:space="preserve">Frasco 500ml</t>
  </si>
  <si>
    <t xml:space="preserve">Calibración pHmetro</t>
  </si>
  <si>
    <t xml:space="preserve">LAB-019</t>
  </si>
  <si>
    <t xml:space="preserve">Estándar pH 7.00 (solución tampón)</t>
  </si>
  <si>
    <t xml:space="preserve">11-40-07</t>
  </si>
  <si>
    <t xml:space="preserve">LAB-020</t>
  </si>
  <si>
    <t xml:space="preserve">Hipoclorito sódico 50L (desinfectante)</t>
  </si>
  <si>
    <t xml:space="preserve">Desinfección</t>
  </si>
  <si>
    <t xml:space="preserve">Quimidrops</t>
  </si>
  <si>
    <t xml:space="preserve">QD-NaClO-50</t>
  </si>
  <si>
    <t xml:space="preserve">Garrafa 50L</t>
  </si>
  <si>
    <t xml:space="preserve">Desinfección superficies y equipos</t>
  </si>
  <si>
    <t xml:space="preserve">LAB-021</t>
  </si>
  <si>
    <t xml:space="preserve">Kit detección Legionella Urine Antigen</t>
  </si>
  <si>
    <t xml:space="preserve">Kits Rápidos</t>
  </si>
  <si>
    <t xml:space="preserve">22190</t>
  </si>
  <si>
    <t xml:space="preserve">Caja 25 pruebas</t>
  </si>
  <si>
    <t xml:space="preserve">Ensayo inmunocromatográfico Ag urinario</t>
  </si>
  <si>
    <t xml:space="preserve">LAB-022</t>
  </si>
  <si>
    <t xml:space="preserve">Filtros membrana 0.45µm Ø47mm (blancas)</t>
  </si>
  <si>
    <t xml:space="preserve">Filtración</t>
  </si>
  <si>
    <t xml:space="preserve">Millipore</t>
  </si>
  <si>
    <t xml:space="preserve">Merck Millipore</t>
  </si>
  <si>
    <t xml:space="preserve">HAWP04700</t>
  </si>
  <si>
    <t xml:space="preserve">Paquete 100 ud</t>
  </si>
  <si>
    <t xml:space="preserve">Filtración microbiológica agua ISO 9308</t>
  </si>
  <si>
    <t xml:space="preserve">LAB-023</t>
  </si>
  <si>
    <t xml:space="preserve">Filtros membrana 0.22µm Ø47mm</t>
  </si>
  <si>
    <t xml:space="preserve">GSWP04700</t>
  </si>
  <si>
    <t xml:space="preserve">Esterilización por filtración</t>
  </si>
  <si>
    <t xml:space="preserve">LAB-024</t>
  </si>
  <si>
    <t xml:space="preserve">Probeta graduada 1000ml PP</t>
  </si>
  <si>
    <t xml:space="preserve">Material de Vidrio/PP</t>
  </si>
  <si>
    <t xml:space="preserve">Kartell</t>
  </si>
  <si>
    <t xml:space="preserve">612-0055</t>
  </si>
  <si>
    <t xml:space="preserve">Unidad</t>
  </si>
  <si>
    <t xml:space="preserve">LAB-025</t>
  </si>
  <si>
    <t xml:space="preserve">Matraz Erlenmeyer 500ml vidrio</t>
  </si>
  <si>
    <t xml:space="preserve">Duran</t>
  </si>
  <si>
    <t xml:space="preserve">612-0144</t>
  </si>
  <si>
    <t xml:space="preserve">LAB-026</t>
  </si>
  <si>
    <t xml:space="preserve">Agua Destilada estéril 500ml</t>
  </si>
  <si>
    <t xml:space="preserve">Baxter</t>
  </si>
  <si>
    <t xml:space="preserve">L7502</t>
  </si>
  <si>
    <t xml:space="preserve">Diluciones y preparaciones</t>
  </si>
  <si>
    <t xml:space="preserve">LAB-027</t>
  </si>
  <si>
    <t xml:space="preserve">Papel de filtro Whatman nº 1 Ø185mm</t>
  </si>
  <si>
    <t xml:space="preserve">Sigma-Aldrich</t>
  </si>
  <si>
    <t xml:space="preserve">Whatman</t>
  </si>
  <si>
    <t xml:space="preserve">1001-185</t>
  </si>
  <si>
    <t xml:space="preserve">LAB-028</t>
  </si>
  <si>
    <t xml:space="preserve">Bolsas Stomacher 400ml (estériles)</t>
  </si>
  <si>
    <t xml:space="preserve">Whirl-Pak</t>
  </si>
  <si>
    <t xml:space="preserve">B01064WA</t>
  </si>
  <si>
    <t xml:space="preserve">Homogeneización muestras alimentos</t>
  </si>
  <si>
    <t xml:space="preserve">LAB-029</t>
  </si>
  <si>
    <t xml:space="preserve">Tiras reactivas pH 0-14 (no sangrado)</t>
  </si>
  <si>
    <t xml:space="preserve">Merck</t>
  </si>
  <si>
    <t xml:space="preserve">MColorpHast</t>
  </si>
  <si>
    <t xml:space="preserve">1095350001</t>
  </si>
  <si>
    <t xml:space="preserve">Caja 100 tiras</t>
  </si>
  <si>
    <t xml:space="preserve">Control rápido pH</t>
  </si>
  <si>
    <t xml:space="preserve">LAB-030</t>
  </si>
  <si>
    <t xml:space="preserve">Etanol 96% (desinfección instrumental)</t>
  </si>
  <si>
    <t xml:space="preserve">121086.1211</t>
  </si>
  <si>
    <t xml:space="preserve">Frasco 1L</t>
  </si>
  <si>
    <t xml:space="preserve">Grado técnico. Uso interno laboratorio</t>
  </si>
  <si>
    <t xml:space="preserve">LAB-031</t>
  </si>
  <si>
    <t xml:space="preserve">PLACA PETRI 90X14MM</t>
  </si>
  <si>
    <t xml:space="preserve">EQUILABO</t>
  </si>
  <si>
    <t xml:space="preserve">200200</t>
  </si>
  <si>
    <t xml:space="preserve">Unidad (placa)</t>
  </si>
  <si>
    <t xml:space="preserve">LAB-032</t>
  </si>
  <si>
    <t xml:space="preserve">PLACA PETRI 90X14MM (ESTÉRIL)</t>
  </si>
  <si>
    <t xml:space="preserve">200200E</t>
  </si>
  <si>
    <t xml:space="preserve">LAB-033</t>
  </si>
  <si>
    <t xml:space="preserve">PLACA PETRI 55X14MM ASÉPTICA</t>
  </si>
  <si>
    <t xml:space="preserve">200201</t>
  </si>
  <si>
    <t xml:space="preserve">LAB-034</t>
  </si>
  <si>
    <t xml:space="preserve">FILTRO MEMBRANA CN 0.45µm 47mmØ BLANCA CUADRIC. ST</t>
  </si>
  <si>
    <t xml:space="preserve">100-1003</t>
  </si>
  <si>
    <t xml:space="preserve">LAB-035</t>
  </si>
  <si>
    <t xml:space="preserve">ASA DIGRALSKY B/5</t>
  </si>
  <si>
    <t xml:space="preserve">200500.1</t>
  </si>
  <si>
    <t xml:space="preserve">LAB-036</t>
  </si>
  <si>
    <t xml:space="preserve">BOTELLA ESTÉRIL RECOGIDA AGUAS C/TIOSULFATO 500 ML</t>
  </si>
  <si>
    <t xml:space="preserve">282323</t>
  </si>
  <si>
    <t xml:space="preserve">Frasco 500 ml</t>
  </si>
  <si>
    <t xml:space="preserve">LAB-037</t>
  </si>
  <si>
    <t xml:space="preserve">BOTELLA ESTÉRIL RECOGIDA AGUAS C/TIOSULFATO 1000 ML</t>
  </si>
  <si>
    <t xml:space="preserve">282324</t>
  </si>
  <si>
    <t xml:space="preserve">Frasco 1 L</t>
  </si>
  <si>
    <t xml:space="preserve">LAB-038</t>
  </si>
  <si>
    <t xml:space="preserve">AMIES PS+VISCOSA</t>
  </si>
  <si>
    <t xml:space="preserve">300287</t>
  </si>
  <si>
    <t xml:space="preserve">LAB-039</t>
  </si>
  <si>
    <t xml:space="preserve">FRASCO 120ML PP B/U ESTÉRIL</t>
  </si>
  <si>
    <t xml:space="preserve">409726</t>
  </si>
  <si>
    <t xml:space="preserve">Frasco 120 ml</t>
  </si>
  <si>
    <t xml:space="preserve">LAB-040</t>
  </si>
  <si>
    <t xml:space="preserve">RAPID SALMONELLA CAPSULE X100 (BIO RAD FOOD)</t>
  </si>
  <si>
    <t xml:space="preserve">3564710.0100</t>
  </si>
  <si>
    <t xml:space="preserve">Kit 100 test</t>
  </si>
  <si>
    <t xml:space="preserve">LAB-041</t>
  </si>
  <si>
    <t xml:space="preserve">SUPLEMENTO ESTÉRIL CEFSULODINA P/MUG PLUS 100 ML</t>
  </si>
  <si>
    <t xml:space="preserve">SMS400</t>
  </si>
  <si>
    <t xml:space="preserve">Frasco 100 ml</t>
  </si>
  <si>
    <t xml:space="preserve">LAB-042</t>
  </si>
  <si>
    <t xml:space="preserve">QUANTITATIVE PACKAGE RONDA MC358 (INTERCOMPARACIÓN)</t>
  </si>
  <si>
    <t xml:space="preserve">Control de Calidad</t>
  </si>
  <si>
    <t xml:space="preserve">PT-MC-36</t>
  </si>
  <si>
    <t xml:space="preserve">LAB-043</t>
  </si>
  <si>
    <t xml:space="preserve">QUALITATIVE PACKAGE (INTERCOMPARACIÓN)</t>
  </si>
  <si>
    <t xml:space="preserve">PT-MC-37</t>
  </si>
  <si>
    <t xml:space="preserve">LAB-044</t>
  </si>
  <si>
    <t xml:space="preserve">PIPETA GRADUADA CLASE A 10ML C/5</t>
  </si>
  <si>
    <t xml:space="preserve">BIOLINEA</t>
  </si>
  <si>
    <t xml:space="preserve">LB-MPIA-010-005</t>
  </si>
  <si>
    <t xml:space="preserve">Pack 5 ud</t>
  </si>
  <si>
    <t xml:space="preserve">LAB-045</t>
  </si>
  <si>
    <t xml:space="preserve">PIPETA GRADUADA CLASE A 20ML C/5</t>
  </si>
  <si>
    <t xml:space="preserve">LB-MPIA-020-005</t>
  </si>
  <si>
    <t xml:space="preserve">LAB-046</t>
  </si>
  <si>
    <t xml:space="preserve">FRASCO PET ESTÉRIL C/TIOSULFATO 1L C/48</t>
  </si>
  <si>
    <t xml:space="preserve">LB-WSBE-1KT-048</t>
  </si>
  <si>
    <t xml:space="preserve">Caja 48 ud</t>
  </si>
  <si>
    <t xml:space="preserve">LAB-047</t>
  </si>
  <si>
    <t xml:space="preserve">TUBO GRADUADO PP 15ML ESTÉRIL C/500</t>
  </si>
  <si>
    <t xml:space="preserve">LB-CTGP-E15-500</t>
  </si>
  <si>
    <t xml:space="preserve">Caja 500/100 ud</t>
  </si>
  <si>
    <t xml:space="preserve">LAB-048</t>
  </si>
  <si>
    <t xml:space="preserve">TUBO 50ML PP C/FALDÓN ESTÉRIL C/500 EN BOLSAS</t>
  </si>
  <si>
    <t xml:space="preserve">LB-CTSP-E50-500</t>
  </si>
  <si>
    <t xml:space="preserve">LAB-049</t>
  </si>
  <si>
    <t xml:space="preserve">PATRÓN CONDUCTIVIDAD 12,88 mS/cm 500ML</t>
  </si>
  <si>
    <t xml:space="preserve">Patrones y Calibración</t>
  </si>
  <si>
    <t xml:space="preserve">LPROC-G51100643</t>
  </si>
  <si>
    <t xml:space="preserve">LAB-050</t>
  </si>
  <si>
    <t xml:space="preserve">TUBERÍA SILICONA 8X12MM 5 METROS</t>
  </si>
  <si>
    <t xml:space="preserve">LB-SILT-008-005</t>
  </si>
  <si>
    <t xml:space="preserve">Rollo 5 m</t>
  </si>
  <si>
    <t xml:space="preserve">LAB-051</t>
  </si>
  <si>
    <t xml:space="preserve">DISOLUCIÓN TAMPÓN pH 1.679 ISO 17034 500ML</t>
  </si>
  <si>
    <t xml:space="preserve">LPROC-101679CRM</t>
  </si>
  <si>
    <t xml:space="preserve">LAB-052</t>
  </si>
  <si>
    <t xml:space="preserve">DISOLUCIÓN TAMPÓN pH 7 ISO 17034 500ML</t>
  </si>
  <si>
    <t xml:space="preserve">LPROC-1070525C</t>
  </si>
  <si>
    <t xml:space="preserve">LAB-053</t>
  </si>
  <si>
    <t xml:space="preserve">DISOLUCIÓN TAMPÓN pH 10 ISO 17034 500ML</t>
  </si>
  <si>
    <t xml:space="preserve">LPROC-1100525C</t>
  </si>
  <si>
    <t xml:space="preserve">LAB-054</t>
  </si>
  <si>
    <t xml:space="preserve">AGITADOR VORTEX MULTITUBO DMT</t>
  </si>
  <si>
    <t xml:space="preserve">Equipos</t>
  </si>
  <si>
    <t xml:space="preserve">LAB55990</t>
  </si>
  <si>
    <t xml:space="preserve">LAB-055</t>
  </si>
  <si>
    <t xml:space="preserve">SOPORTE UNIVERSAL PARA ADAPTADORES VORTEX</t>
  </si>
  <si>
    <t xml:space="preserve">LB-VORX-A04-001</t>
  </si>
  <si>
    <t xml:space="preserve">LAB-056</t>
  </si>
  <si>
    <t xml:space="preserve">SOPORTE ESTÁNDAR P/TUBOS DE MENOS 30MM VORTEX</t>
  </si>
  <si>
    <t xml:space="preserve">LB-VORX-A03-001</t>
  </si>
  <si>
    <t xml:space="preserve">LAB-057</t>
  </si>
  <si>
    <t xml:space="preserve">ADAPTADOR PARA 8 TUBOS DE 20MM VORTEX</t>
  </si>
  <si>
    <t xml:space="preserve">LB-VORX-A81-001</t>
  </si>
  <si>
    <t xml:space="preserve">LAB-058</t>
  </si>
  <si>
    <t xml:space="preserve">GLICERINA 99% AGR 1L</t>
  </si>
  <si>
    <t xml:space="preserve">LB-GLIO-00A-1K0</t>
  </si>
  <si>
    <t xml:space="preserve">LAB-059</t>
  </si>
  <si>
    <t xml:space="preserve">HIERRO VISOCOLOR 0.04-2.0</t>
  </si>
  <si>
    <t xml:space="preserve">PANR931225RM</t>
  </si>
  <si>
    <t xml:space="preserve">LAB-060</t>
  </si>
  <si>
    <t xml:space="preserve">YEMA DE HUEVO CON TELURITO 100ML</t>
  </si>
  <si>
    <t xml:space="preserve">CONDA5129</t>
  </si>
  <si>
    <t xml:space="preserve">LAB-061</t>
  </si>
  <si>
    <t xml:space="preserve">GUANTE NITRILO S/POLVO TALLA S C/100 UDS</t>
  </si>
  <si>
    <t xml:space="preserve">PS-GN11</t>
  </si>
  <si>
    <t xml:space="preserve">LAB-062</t>
  </si>
  <si>
    <t xml:space="preserve">GUANTE NITRILO S/POLVO TALLA M C/100 UDS</t>
  </si>
  <si>
    <t xml:space="preserve">PS-GN22</t>
  </si>
  <si>
    <t xml:space="preserve">LAB-063</t>
  </si>
  <si>
    <t xml:space="preserve">GUANTE NITRILO S/POLVO TALLA L C/100 UDS</t>
  </si>
  <si>
    <t xml:space="preserve">PS-GN33</t>
  </si>
  <si>
    <t xml:space="preserve">LAB-064</t>
  </si>
  <si>
    <t xml:space="preserve">LEGIONELLA ANISA WDCM 00106 VITROIDS (CEPA REF.)</t>
  </si>
  <si>
    <t xml:space="preserve">Cepas de Referencia</t>
  </si>
  <si>
    <t xml:space="preserve">MERCK</t>
  </si>
  <si>
    <t xml:space="preserve">VT001066-10EA</t>
  </si>
  <si>
    <t xml:space="preserve">LAB-065</t>
  </si>
  <si>
    <t xml:space="preserve">LEGIONELLA PNEUMOPHILA SEROGROUP 1 WDCM (CEPA REF.)</t>
  </si>
  <si>
    <t xml:space="preserve">VT001076-10EA</t>
  </si>
  <si>
    <t xml:space="preserve">LAB-066</t>
  </si>
  <si>
    <t xml:space="preserve">STAPHYLOCOCCUS AUREUS SUSP. AUREUS WDCM (CEPA REF.)</t>
  </si>
  <si>
    <t xml:space="preserve">VT000326-10EA</t>
  </si>
  <si>
    <t xml:space="preserve">LAB-067</t>
  </si>
  <si>
    <t xml:space="preserve">BACILLUS SUBTILIS WDCM 00003 VITROIDS (CEPA REF.)</t>
  </si>
  <si>
    <t xml:space="preserve">VT000036-10EA</t>
  </si>
  <si>
    <t xml:space="preserve">LAB-068</t>
  </si>
  <si>
    <t xml:space="preserve">REACTIVO FOTÓMETRO LOVIBOND DPD-1 TABLETA 250 UD.</t>
  </si>
  <si>
    <t xml:space="preserve">COMERCIAL PEDRO</t>
  </si>
  <si>
    <t xml:space="preserve">1141</t>
  </si>
  <si>
    <t xml:space="preserve">Caja 250 tabletas</t>
  </si>
  <si>
    <t xml:space="preserve">LAB-069</t>
  </si>
  <si>
    <t xml:space="preserve">REACTIVO FOTÓMETRO LOVIBOND DPD-3 TABLETA 250 UD.</t>
  </si>
  <si>
    <t xml:space="preserve">1142</t>
  </si>
  <si>
    <t xml:space="preserve">LAB-070</t>
  </si>
  <si>
    <t xml:space="preserve">REACTIVO FOTÓMETRO LOVIBOND pH PHENOL RED TABLETA 250 UD.</t>
  </si>
  <si>
    <t xml:space="preserve">1143</t>
  </si>
  <si>
    <t xml:space="preserve">LAB-071</t>
  </si>
  <si>
    <t xml:space="preserve">PATRÓN CLORO LOVIBOND MD100/200 REF. STD KIT 0.2-1 PPM</t>
  </si>
  <si>
    <t xml:space="preserve">57180</t>
  </si>
  <si>
    <t xml:space="preserve">Kit</t>
  </si>
  <si>
    <t xml:space="preserve">LAB-072</t>
  </si>
  <si>
    <t xml:space="preserve">PATRÓN pH MD100/200 REF. STD KIT 7.45 (LOVIBOND)</t>
  </si>
  <si>
    <t xml:space="preserve">57181</t>
  </si>
  <si>
    <t xml:space="preserve">LAB-073</t>
  </si>
  <si>
    <t xml:space="preserve">TOALLAS SECAMANOS TORK H2 2C PLEG Z CJ 21 PQ 190S</t>
  </si>
  <si>
    <t xml:space="preserve">Fungibles / Limpieza</t>
  </si>
  <si>
    <t xml:space="preserve">150400</t>
  </si>
  <si>
    <t xml:space="preserve">Caja 21 pq</t>
  </si>
  <si>
    <t xml:space="preserve">LAB-074</t>
  </si>
  <si>
    <t xml:space="preserve">BRILLIANCE LISTERIA AGAR (ISO) - PLACA</t>
  </si>
  <si>
    <t xml:space="preserve">THERMO FISHER</t>
  </si>
  <si>
    <t xml:space="preserve">PO5332A</t>
  </si>
  <si>
    <t xml:space="preserve">LAB-075</t>
  </si>
  <si>
    <t xml:space="preserve">BRILLIANCE SALMONELLA AGAR - PLACA (10 ud)</t>
  </si>
  <si>
    <t xml:space="preserve">PO5098A</t>
  </si>
  <si>
    <t xml:space="preserve">LAB-076</t>
  </si>
  <si>
    <t xml:space="preserve">LEGIONELLA BCYEa MEDIUM WITHOUT CYSTEIN - PLACA</t>
  </si>
  <si>
    <t xml:space="preserve">PO5028A</t>
  </si>
  <si>
    <t xml:space="preserve">LAB-077</t>
  </si>
  <si>
    <t xml:space="preserve">LEGIONELLA GVPC - PLACA</t>
  </si>
  <si>
    <t xml:space="preserve">PO5074A</t>
  </si>
  <si>
    <t xml:space="preserve">LAB-078</t>
  </si>
  <si>
    <t xml:space="preserve">LEGIONELLA BCYEa WITH L-CYST. - PLACA</t>
  </si>
  <si>
    <t xml:space="preserve">PO5072A</t>
  </si>
  <si>
    <t xml:space="preserve">LAB-079</t>
  </si>
  <si>
    <t xml:space="preserve">OXOID SALMONELLA 100 TEST KIT</t>
  </si>
  <si>
    <t xml:space="preserve">DR1108A</t>
  </si>
  <si>
    <t xml:space="preserve">LAB-080</t>
  </si>
  <si>
    <t xml:space="preserve">LEGIONELLA LATEX TEST KIT 3</t>
  </si>
  <si>
    <t xml:space="preserve">DR0800M</t>
  </si>
  <si>
    <t xml:space="preserve">LAB-081</t>
  </si>
  <si>
    <t xml:space="preserve">LEGIONELLA TEST SPECIES KIT 2</t>
  </si>
  <si>
    <t xml:space="preserve">DR0803M</t>
  </si>
  <si>
    <t xml:space="preserve">LAB-082</t>
  </si>
  <si>
    <t xml:space="preserve">LEGIONELLA ACID BUFFER SOLUTION BOTELLA</t>
  </si>
  <si>
    <t xml:space="preserve">EB1375W</t>
  </si>
  <si>
    <t xml:space="preserve">LAB-083</t>
  </si>
  <si>
    <t xml:space="preserve">INTERCOMPARACIÓN BIPEA - CUOTA ANUAL (Jul-Jun)</t>
  </si>
  <si>
    <t xml:space="preserve">BIPEA</t>
  </si>
  <si>
    <t xml:space="preserve">COTN</t>
  </si>
  <si>
    <t xml:space="preserve">LAB-084</t>
  </si>
  <si>
    <t xml:space="preserve">INTERCOMPARACIÓN BIPEA - CUOTA ADHESIÓN</t>
  </si>
  <si>
    <t xml:space="preserve">DROIT</t>
  </si>
  <si>
    <t xml:space="preserve">LAB-085</t>
  </si>
  <si>
    <t xml:space="preserve">NEVERA TRANSPORTE MUESTRAS BIOLÓGICAS GRAN CAPACIDAD</t>
  </si>
  <si>
    <t xml:space="preserve">IBEROMED</t>
  </si>
  <si>
    <t xml:space="preserve">ESISOMUES002</t>
  </si>
  <si>
    <t xml:space="preserve">LAB-086</t>
  </si>
  <si>
    <t xml:space="preserve">CAJA ISOTÉRMICA FXPS 300x200x200mm XPS5mm 12L F204</t>
  </si>
  <si>
    <t xml:space="preserve">Material de Transporte</t>
  </si>
  <si>
    <t xml:space="preserve">TEMPACK</t>
  </si>
  <si>
    <t xml:space="preserve">413F000023A</t>
  </si>
  <si>
    <t xml:space="preserve">HS LAB ANALYSIS  ·  REGISTRO DE PROVEEDORES</t>
  </si>
  <si>
    <t xml:space="preserve">Directorio de Suministradores del Laboratorio  ·  Versión 1.1  ·  16/03/2026</t>
  </si>
  <si>
    <t xml:space="preserve">CÓD.
PROVEEDOR</t>
  </si>
  <si>
    <t xml:space="preserve">NOMBRE PROVEEDOR</t>
  </si>
  <si>
    <t xml:space="preserve">CIF/NIF</t>
  </si>
  <si>
    <t xml:space="preserve">CONTACTO
COMERCIAL</t>
  </si>
  <si>
    <t xml:space="preserve">TELÉFONO</t>
  </si>
  <si>
    <t xml:space="preserve">EMAIL</t>
  </si>
  <si>
    <t xml:space="preserve">CATEGORÍA
PRINCIPAL</t>
  </si>
  <si>
    <t xml:space="preserve">FORMA DE
PAGO</t>
  </si>
  <si>
    <t xml:space="preserve">DÍAS DE
ENTREGA</t>
  </si>
  <si>
    <t xml:space="preserve">PROV-001</t>
  </si>
  <si>
    <t xml:space="preserve">Cultimed (Panreac AppliChem)</t>
  </si>
  <si>
    <t xml:space="preserve">A08020972</t>
  </si>
  <si>
    <t xml:space="preserve">Dpto. Ventas Lab</t>
  </si>
  <si>
    <t xml:space="preserve">93 476 62 00</t>
  </si>
  <si>
    <t xml:space="preserve">laboratorio@cultimed.es</t>
  </si>
  <si>
    <t xml:space="preserve">Medios Cultivo</t>
  </si>
  <si>
    <t xml:space="preserve">30 días</t>
  </si>
  <si>
    <t xml:space="preserve">3-5</t>
  </si>
  <si>
    <t xml:space="preserve">Distribuidor nacional reactivos y medios</t>
  </si>
  <si>
    <t xml:space="preserve">PROV-002</t>
  </si>
  <si>
    <t xml:space="preserve">BioMérieux España, S.A.</t>
  </si>
  <si>
    <t xml:space="preserve">A60202524</t>
  </si>
  <si>
    <t xml:space="preserve">Delegado comercial</t>
  </si>
  <si>
    <t xml:space="preserve">91 807 90 60</t>
  </si>
  <si>
    <t xml:space="preserve">info.spain@biomerieux.com</t>
  </si>
  <si>
    <t xml:space="preserve">Medios Cultivo / Kits</t>
  </si>
  <si>
    <t xml:space="preserve">2-3</t>
  </si>
  <si>
    <t xml:space="preserve">Proveedor preferente microbiología clínica</t>
  </si>
  <si>
    <t xml:space="preserve">PROV-003</t>
  </si>
  <si>
    <t xml:space="preserve">VWR International Eurolab, S.L.</t>
  </si>
  <si>
    <t xml:space="preserve">B08375956</t>
  </si>
  <si>
    <t xml:space="preserve">Atención cliente</t>
  </si>
  <si>
    <t xml:space="preserve">93 853 30 00</t>
  </si>
  <si>
    <t xml:space="preserve">customerservice.es@vwr.com</t>
  </si>
  <si>
    <t xml:space="preserve">Consumibles / Material</t>
  </si>
  <si>
    <t xml:space="preserve">60 días</t>
  </si>
  <si>
    <t xml:space="preserve">1-2</t>
  </si>
  <si>
    <t xml:space="preserve">Portal web: es.vwr.com</t>
  </si>
  <si>
    <t xml:space="preserve">PROV-004</t>
  </si>
  <si>
    <t xml:space="preserve">Thermo Fisher Scientific</t>
  </si>
  <si>
    <t xml:space="preserve">B66077286</t>
  </si>
  <si>
    <t xml:space="preserve">Comercial Norte</t>
  </si>
  <si>
    <t xml:space="preserve">91 657 45 06</t>
  </si>
  <si>
    <t xml:space="preserve">spain.customerservice@thermofisher.com</t>
  </si>
  <si>
    <t xml:space="preserve">Cuenta cliente nº [ASIGNAR]</t>
  </si>
  <si>
    <t xml:space="preserve">PROV-005</t>
  </si>
  <si>
    <t xml:space="preserve">Hanna Instruments España</t>
  </si>
  <si>
    <t xml:space="preserve">B58207965</t>
  </si>
  <si>
    <t xml:space="preserve">Comercial directo</t>
  </si>
  <si>
    <t xml:space="preserve">93 580 19 70</t>
  </si>
  <si>
    <t xml:space="preserve">hanna@hannainst.es</t>
  </si>
  <si>
    <t xml:space="preserve">Equipos y reactivos fisicoquímica</t>
  </si>
  <si>
    <t xml:space="preserve">PROV-006</t>
  </si>
  <si>
    <t xml:space="preserve">Merck S.L.U.</t>
  </si>
  <si>
    <t xml:space="preserve">A28102364</t>
  </si>
  <si>
    <t xml:space="preserve">Delegado técnico</t>
  </si>
  <si>
    <t xml:space="preserve">91 600 77 00</t>
  </si>
  <si>
    <t xml:space="preserve">info.spain@merck.com</t>
  </si>
  <si>
    <t xml:space="preserve">Reactivos Químicos / Filtros</t>
  </si>
  <si>
    <t xml:space="preserve">Millipore + Sigma-Aldrich + Merck</t>
  </si>
  <si>
    <t xml:space="preserve">PROV-007</t>
  </si>
  <si>
    <t xml:space="preserve">Bio-Rad Laboratories, S.A.</t>
  </si>
  <si>
    <t xml:space="preserve">A78291870</t>
  </si>
  <si>
    <t xml:space="preserve">Soporte técnico</t>
  </si>
  <si>
    <t xml:space="preserve">91 590 52 00</t>
  </si>
  <si>
    <t xml:space="preserve">bio-rad_es@bio-rad.com</t>
  </si>
  <si>
    <t xml:space="preserve">Medios Legionella</t>
  </si>
  <si>
    <t xml:space="preserve">Proveedor BCYE-alpha Legionella</t>
  </si>
  <si>
    <t xml:space="preserve">PROV-008</t>
  </si>
  <si>
    <t xml:space="preserve">Crison Instruments, S.A.</t>
  </si>
  <si>
    <t xml:space="preserve">A58082541</t>
  </si>
  <si>
    <t xml:space="preserve">SAT + ventas</t>
  </si>
  <si>
    <t xml:space="preserve">93 754 10 20</t>
  </si>
  <si>
    <t xml:space="preserve">crison@crison.com</t>
  </si>
  <si>
    <t xml:space="preserve">Equipos / Reactivos</t>
  </si>
  <si>
    <t xml:space="preserve">3-7</t>
  </si>
  <si>
    <t xml:space="preserve">Paquete mantenimiento pHmetros</t>
  </si>
  <si>
    <t xml:space="preserve">PROV-009</t>
  </si>
  <si>
    <t xml:space="preserve">B61780920</t>
  </si>
  <si>
    <t xml:space="preserve">Gestor cuenta</t>
  </si>
  <si>
    <t xml:space="preserve">93 123 45 67</t>
  </si>
  <si>
    <t xml:space="preserve">laboratorio@mercaplast.com</t>
  </si>
  <si>
    <t xml:space="preserve">Guantes y material protección</t>
  </si>
  <si>
    <t xml:space="preserve">PROV-010</t>
  </si>
  <si>
    <t xml:space="preserve">Quimidrops, S.L.</t>
  </si>
  <si>
    <t xml:space="preserve">B08920340</t>
  </si>
  <si>
    <t xml:space="preserve">Comercial zona</t>
  </si>
  <si>
    <t xml:space="preserve">93 987 65 43</t>
  </si>
  <si>
    <t xml:space="preserve">quimidrops@quimidrops.com</t>
  </si>
  <si>
    <t xml:space="preserve">Hipoclorito, desinfectantes</t>
  </si>
  <si>
    <t xml:space="preserve">PROV-011</t>
  </si>
  <si>
    <t xml:space="preserve">EQUILABO, S.L.</t>
  </si>
  <si>
    <t xml:space="preserve">Dpto. Ventas</t>
  </si>
  <si>
    <t xml:space="preserve">info@equilabo.com</t>
  </si>
  <si>
    <t xml:space="preserve">Consumibles / Medios de Cultivo</t>
  </si>
  <si>
    <t xml:space="preserve">Distribuidor multimarca material lab</t>
  </si>
  <si>
    <t xml:space="preserve">PROV-012</t>
  </si>
  <si>
    <t xml:space="preserve">BIOLINEA, S.L.</t>
  </si>
  <si>
    <t xml:space="preserve">Comercial</t>
  </si>
  <si>
    <t xml:space="preserve">info@biolinea.com</t>
  </si>
  <si>
    <t xml:space="preserve">Consumibles / Reactivos / Equipos</t>
  </si>
  <si>
    <t xml:space="preserve">2-4</t>
  </si>
  <si>
    <t xml:space="preserve">Amplio catálogo: patrones ISO 17034, consumibles, equipos</t>
  </si>
  <si>
    <t xml:space="preserve">PROV-013</t>
  </si>
  <si>
    <t xml:space="preserve">COMERCIAL PEDRO, S.A.</t>
  </si>
  <si>
    <t xml:space="preserve">Reactivos Fotometría / Lovibond</t>
  </si>
  <si>
    <t xml:space="preserve">Reactivos DPD, pH y patrones Lovibond</t>
  </si>
  <si>
    <t xml:space="preserve">PROV-014</t>
  </si>
  <si>
    <t xml:space="preserve">Administración</t>
  </si>
  <si>
    <t xml:space="preserve">bipea@bipea.org</t>
  </si>
  <si>
    <t xml:space="preserve">Control de Calidad / Intercomparación</t>
  </si>
  <si>
    <t xml:space="preserve">Anual</t>
  </si>
  <si>
    <t xml:space="preserve">—</t>
  </si>
  <si>
    <t xml:space="preserve">Organismo intercomparación microbiología</t>
  </si>
  <si>
    <t xml:space="preserve">PROV-015</t>
  </si>
  <si>
    <t xml:space="preserve">IBEROMED, S.L.</t>
  </si>
  <si>
    <t xml:space="preserve">info@iberomed.com</t>
  </si>
  <si>
    <t xml:space="preserve">Material de Transporte / Muestras</t>
  </si>
  <si>
    <t xml:space="preserve">Neveras y material transporte muestras</t>
  </si>
  <si>
    <t xml:space="preserve">PROV-016</t>
  </si>
  <si>
    <t xml:space="preserve">TEMPACK TECHNOLOGIES</t>
  </si>
  <si>
    <t xml:space="preserve">info@tempack.com</t>
  </si>
  <si>
    <t xml:space="preserve">Material de Transporte Isotérmico</t>
  </si>
  <si>
    <t xml:space="preserve">5-7</t>
  </si>
  <si>
    <t xml:space="preserve">Cajas isotérmicas FXPS transporte muestras</t>
  </si>
  <si>
    <t xml:space="preserve">HS LAB ANALYSIS  ·  REGISTRO DE PEDIDOS</t>
  </si>
  <si>
    <t xml:space="preserve">Registro de pedidos realizados a proveedores · Control de compras · Versión 1.0</t>
  </si>
  <si>
    <t xml:space="preserve">Nº PEDIDO</t>
  </si>
  <si>
    <t xml:space="preserve">FECHA
PEDIDO</t>
  </si>
  <si>
    <t xml:space="preserve">CÓD. ARTÍCULO</t>
  </si>
  <si>
    <t xml:space="preserve">DESCRIPCIÓN</t>
  </si>
  <si>
    <t xml:space="preserve">CANT.
PEDIDA</t>
  </si>
  <si>
    <t xml:space="preserve">PRECIO
UNIT. (€)</t>
  </si>
  <si>
    <t xml:space="preserve">IMPORTE
SIN IVA (€)</t>
  </si>
  <si>
    <t xml:space="preserve">IMPORTE
CON IVA (€)</t>
  </si>
  <si>
    <t xml:space="preserve">ESTADO
PEDIDO</t>
  </si>
  <si>
    <t xml:space="preserve">PED-2026-001</t>
  </si>
  <si>
    <t xml:space="preserve">PED-2026-002</t>
  </si>
  <si>
    <t xml:space="preserve">PED-2026-003</t>
  </si>
  <si>
    <t xml:space="preserve">PED-2026-004</t>
  </si>
  <si>
    <t xml:space="preserve">PED-2026-005</t>
  </si>
  <si>
    <t xml:space="preserve">PED-2026-006</t>
  </si>
  <si>
    <t xml:space="preserve">PED-2026-007</t>
  </si>
  <si>
    <t xml:space="preserve">PED-2026-008</t>
  </si>
  <si>
    <t xml:space="preserve">PED-2026-009</t>
  </si>
  <si>
    <t xml:space="preserve">PED-2026-010</t>
  </si>
  <si>
    <t xml:space="preserve">TOTAL PEDIDOS (€):</t>
  </si>
  <si>
    <t xml:space="preserve">HS LAB ANALYSIS  ·  VALIDACIÓN DE ALBARANES</t>
  </si>
  <si>
    <t xml:space="preserve">Comprobación albarán vs. pedido · Verificación precios y cantidades · Control de conformidad</t>
  </si>
  <si>
    <t xml:space="preserve">Nº ALBARÁN</t>
  </si>
  <si>
    <t xml:space="preserve">FECHA
ALBARÁN</t>
  </si>
  <si>
    <t xml:space="preserve">Nº PEDIDO
ASSOCIADO</t>
  </si>
  <si>
    <t xml:space="preserve">CANT.
RECIBIDA</t>
  </si>
  <si>
    <t xml:space="preserve">PRECIO
PEDIDO (€)</t>
  </si>
  <si>
    <t xml:space="preserve">PRECIO
ALBARÁN (€)</t>
  </si>
  <si>
    <t xml:space="preserve">DIFERENCIA
PRECIO (€)</t>
  </si>
  <si>
    <t xml:space="preserve">DIFERENCIA
CANTIDAD</t>
  </si>
  <si>
    <t xml:space="preserve">ESTADO
VALIDACIÓN</t>
  </si>
  <si>
    <t xml:space="preserve">HS LAB ANALYSIS  ·  GUÍA DE USO DEL ARCHIVO</t>
  </si>
  <si>
    <t xml:space="preserve">📋  DESCRIPCIÓN GENERAL</t>
  </si>
  <si>
    <t xml:space="preserve">Este archivo Excel es la base de datos central para la gestión de compras del laboratorio HS LAB ANALYSIS.</t>
  </si>
  <si>
    <t xml:space="preserve">Está diseñado para integrarse con Google AppSheet como backend de la aplicación de gestión de pedidos.</t>
  </si>
  <si>
    <t xml:space="preserve">📄  HOJAS DEL ARCHIVO</t>
  </si>
  <si>
    <t xml:space="preserve">• CATÁLOGO_ARTÍCULOS: Registro maestro de todos los artículos del laboratorio con precios y stock mínimo.</t>
  </si>
  <si>
    <t xml:space="preserve">• PROVEEDORES: Directorio de proveedores con datos de contacto y condiciones de pago.</t>
  </si>
  <si>
    <t xml:space="preserve">• REGISTRO_PEDIDOS: Registro de pedidos realizados. Rellenar con cada orden de compra emitida.</t>
  </si>
  <si>
    <t xml:space="preserve">• VALIDACIÓN_ALBARANES: Herramienta de cotejo automático entre pedido y albarán recibido.</t>
  </si>
  <si>
    <t xml:space="preserve">• INSTRUCCIONES: Este documento.</t>
  </si>
  <si>
    <t xml:space="preserve">✏️  CÓMO USAR CATÁLOGO_ARTÍCULOS</t>
  </si>
  <si>
    <t xml:space="preserve">1. Añadir nuevos artículos a partir de la fila 4, respetando el formato de las columnas.</t>
  </si>
  <si>
    <t xml:space="preserve">2. El Código de Artículo (COD_ARTÍCULO) debe ser único. Formato recomendado: LAB-XXX.</t>
  </si>
  <si>
    <t xml:space="preserve">3. La columna PRECIO UNIT. CON IVA se calcula automáticamente (no modificar).</t>
  </si>
  <si>
    <t xml:space="preserve">4. La columna ACTIVO (S/N): poner 'N' para artículos descatalogados (fila se resalta en rojo).</t>
  </si>
  <si>
    <t xml:space="preserve">📦  CÓMO REGISTRAR UN PEDIDO</t>
  </si>
  <si>
    <t xml:space="preserve">1. Acceder a la hoja REGISTRO_PEDIDOS.</t>
  </si>
  <si>
    <t xml:space="preserve">2. Rellenar las celdas amarillas: Nº Pedido, Fecha, Código Artículo, Proveedor, Cantidad y % IVA.</t>
  </si>
  <si>
    <t xml:space="preserve">3. El importe sin IVA y con IVA se calculan automáticamente.</t>
  </si>
  <si>
    <t xml:space="preserve">4. Actualizar el campo ESTADO PEDIDO: PENDIENTE / RECIBIDO / INCIDENCIA.</t>
  </si>
  <si>
    <t xml:space="preserve">✅  CÓMO VALIDAR UN ALBARÁN</t>
  </si>
  <si>
    <t xml:space="preserve">1. Al recibir un albarán, acceder a VALIDACIÓN_ALBARANES.</t>
  </si>
  <si>
    <t xml:space="preserve">2. Introducir Nº Albarán, fecha, Nº Pedido asociado, y los datos del artículo.</t>
  </si>
  <si>
    <t xml:space="preserve">3. En Precio Albarán y Cantidad Recibida, introducir los datos del albarán físico.</t>
  </si>
  <si>
    <t xml:space="preserve">4. La columna ESTADO VALIDACIÓN se calcula automáticamente:</t>
  </si>
  <si>
    <t xml:space="preserve">   ✓ CONFORME: precio y cantidad coinciden con el pedido.</t>
  </si>
  <si>
    <t xml:space="preserve">   ⚠ REVISAR: hay diferencia de precio o cantidad → revisar con proveedor.</t>
  </si>
  <si>
    <t xml:space="preserve">⚠️  NOTAS IMPORTANTES</t>
  </si>
  <si>
    <t xml:space="preserve">• Las celdas con fondo AMARILLO son de entrada de datos (rellenar por el usuario).</t>
  </si>
  <si>
    <t xml:space="preserve">• Las celdas con fondo BLANCO o AZUL contienen fórmulas automáticas (no modificar).</t>
  </si>
  <si>
    <t xml:space="preserve">• Para importar a Google Sheets: Archivo → Importar → Subir este archivo.</t>
  </si>
  <si>
    <t xml:space="preserve">• Para AppSheet: conectar Google Sheet como fuente de datos y crear las vistas de pedidos.</t>
  </si>
  <si>
    <t xml:space="preserve">📞  SOPORTE TÉCNICO</t>
  </si>
  <si>
    <t xml:space="preserve">HS CONSULTING GROUP, S.L.  ·  info@hsconsultinggroup.com  ·  www.hsconsultinggroup.com</t>
  </si>
  <si>
    <t xml:space="preserve">Laboratorio Acreditado ENAC según ISO/IEC 17025  ·  Sistema Calidad ISO 9001:2015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</si>
</sst>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&quot; €&quot;"/>
    <numFmt numFmtId="166" formatCode="0%"/>
    <numFmt numFmtId="167" formatCode="#,##0"/>
    <numFmt numFmtId="168" formatCode="#,##0.00&quot; €&quot;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i val="true"/>
      <sz val="9"/>
      <color rgb="FF1088C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9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9"/>
      <name val="Calibri"/>
      <family val="0"/>
      <charset val="1"/>
    </font>
    <font>
      <sz val="10"/>
      <name val="Calibri"/>
      <family val="0"/>
      <charset val="1"/>
    </font>
    <font>
      <b val="true"/>
      <sz val="11"/>
      <color rgb="FF1088C8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0093D"/>
        <bgColor rgb="FF000000"/>
      </patternFill>
    </fill>
    <fill>
      <patternFill patternType="solid">
        <fgColor rgb="FFEAF4FC"/>
        <bgColor rgb="FFF2F2F2"/>
      </patternFill>
    </fill>
    <fill>
      <patternFill patternType="solid">
        <fgColor rgb="FF1088C8"/>
        <bgColor rgb="FF1088A0"/>
      </patternFill>
    </fill>
    <fill>
      <patternFill patternType="solid">
        <fgColor rgb="FFF2F2F2"/>
        <bgColor rgb="FFEAF4FC"/>
      </patternFill>
    </fill>
    <fill>
      <patternFill patternType="solid">
        <fgColor rgb="FFFFFFFF"/>
        <bgColor rgb="FFFFF3E6"/>
      </patternFill>
    </fill>
    <fill>
      <patternFill patternType="solid">
        <fgColor rgb="FFFFFACD"/>
        <bgColor rgb="FFFFF3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9D9D9C"/>
      </left>
      <right style="thin">
        <color rgb="FF9D9D9C"/>
      </right>
      <top style="thin">
        <color rgb="FF9D9D9C"/>
      </top>
      <bottom style="thin">
        <color rgb="FF9D9D9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6E6"/>
        </patternFill>
      </fill>
    </dxf>
    <dxf>
      <fill>
        <patternFill>
          <bgColor rgb="FFE6F9E6"/>
        </patternFill>
      </fill>
    </dxf>
    <dxf>
      <fill>
        <patternFill>
          <bgColor rgb="FFFFF3E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93D"/>
      <rgbColor rgb="FF808000"/>
      <rgbColor rgb="FF800080"/>
      <rgbColor rgb="FF1088A0"/>
      <rgbColor rgb="FFC0C0C0"/>
      <rgbColor rgb="FF808080"/>
      <rgbColor rgb="FF9999FF"/>
      <rgbColor rgb="FF993366"/>
      <rgbColor rgb="FFFFFACD"/>
      <rgbColor rgb="FFE6F9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088C8"/>
      <rgbColor rgb="FF0000FF"/>
      <rgbColor rgb="FF00CCFF"/>
      <rgbColor rgb="FFEAF4FC"/>
      <rgbColor rgb="FFF2F2F2"/>
      <rgbColor rgb="FFFFF3E6"/>
      <rgbColor rgb="FF99CCFF"/>
      <rgbColor rgb="FFFF99CC"/>
      <rgbColor rgb="FFCC99FF"/>
      <rgbColor rgb="FFFFE6E6"/>
      <rgbColor rgb="FF3366FF"/>
      <rgbColor rgb="FF33CCCC"/>
      <rgbColor rgb="FF99CC00"/>
      <rgbColor rgb="FFFFCC00"/>
      <rgbColor rgb="FFFF9900"/>
      <rgbColor rgb="FFFF6600"/>
      <rgbColor rgb="FF666699"/>
      <rgbColor rgb="FF9D9D9C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88C8"/>
    <pageSetUpPr fitToPage="false"/>
  </sheetPr>
  <dimension ref="A1:N8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5"/>
    <col collapsed="false" customWidth="true" hidden="false" outlineLevel="0" max="3" min="3" style="1" width="20"/>
    <col collapsed="false" customWidth="true" hidden="false" outlineLevel="0" max="4" min="4" style="1" width="22"/>
    <col collapsed="false" customWidth="true" hidden="false" outlineLevel="0" max="5" min="5" style="1" width="18"/>
    <col collapsed="false" customWidth="true" hidden="false" outlineLevel="0" max="6" min="6" style="1" width="16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8"/>
    <col collapsed="false" customWidth="true" hidden="false" outlineLevel="0" max="10" min="10" style="1" width="14"/>
    <col collapsed="false" customWidth="true" hidden="false" outlineLevel="0" max="11" min="11" style="1" width="10"/>
    <col collapsed="false" customWidth="true" hidden="false" outlineLevel="0" max="12" min="12" style="1" width="12"/>
    <col collapsed="false" customWidth="true" hidden="false" outlineLevel="0" max="13" min="13" style="1" width="8"/>
    <col collapsed="false" customWidth="true" hidden="false" outlineLevel="0" max="14" min="14" style="1" width="30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34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customFormat="false" ht="37.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  <c r="M3" s="4" t="s">
        <v>14</v>
      </c>
      <c r="N3" s="4" t="s">
        <v>15</v>
      </c>
    </row>
    <row r="4" customFormat="false" ht="19.5" hidden="false" customHeight="true" outlineLevel="0" collapsed="false">
      <c r="A4" s="5" t="s">
        <v>16</v>
      </c>
      <c r="B4" s="6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7" t="n">
        <v>45.8</v>
      </c>
      <c r="I4" s="8" t="n">
        <v>0.21</v>
      </c>
      <c r="J4" s="7" t="n">
        <f aca="false">H4*(1+I4)</f>
        <v>55.418</v>
      </c>
      <c r="K4" s="9" t="n">
        <v>2</v>
      </c>
      <c r="L4" s="9" t="n">
        <v>2</v>
      </c>
      <c r="M4" s="5" t="s">
        <v>23</v>
      </c>
      <c r="N4" s="6" t="s">
        <v>24</v>
      </c>
    </row>
    <row r="5" customFormat="false" ht="19.5" hidden="false" customHeight="true" outlineLevel="0" collapsed="false">
      <c r="A5" s="10" t="s">
        <v>25</v>
      </c>
      <c r="B5" s="11" t="s">
        <v>26</v>
      </c>
      <c r="C5" s="10" t="s">
        <v>18</v>
      </c>
      <c r="D5" s="10" t="s">
        <v>27</v>
      </c>
      <c r="E5" s="10" t="s">
        <v>27</v>
      </c>
      <c r="F5" s="10" t="s">
        <v>28</v>
      </c>
      <c r="G5" s="10" t="s">
        <v>22</v>
      </c>
      <c r="H5" s="12" t="n">
        <v>52.3</v>
      </c>
      <c r="I5" s="13" t="n">
        <v>0.21</v>
      </c>
      <c r="J5" s="12" t="n">
        <f aca="false">H5*(1+I5)</f>
        <v>63.283</v>
      </c>
      <c r="K5" s="14" t="n">
        <v>2</v>
      </c>
      <c r="L5" s="14" t="n">
        <v>2</v>
      </c>
      <c r="M5" s="10" t="s">
        <v>23</v>
      </c>
      <c r="N5" s="11" t="s">
        <v>29</v>
      </c>
    </row>
    <row r="6" customFormat="false" ht="19.5" hidden="false" customHeight="true" outlineLevel="0" collapsed="false">
      <c r="A6" s="5" t="s">
        <v>30</v>
      </c>
      <c r="B6" s="6" t="s">
        <v>31</v>
      </c>
      <c r="C6" s="5" t="s">
        <v>18</v>
      </c>
      <c r="D6" s="5" t="s">
        <v>19</v>
      </c>
      <c r="E6" s="5" t="s">
        <v>20</v>
      </c>
      <c r="F6" s="5" t="s">
        <v>32</v>
      </c>
      <c r="G6" s="5" t="s">
        <v>22</v>
      </c>
      <c r="H6" s="7" t="n">
        <v>38.5</v>
      </c>
      <c r="I6" s="8" t="n">
        <v>0.21</v>
      </c>
      <c r="J6" s="7" t="n">
        <f aca="false">H6*(1+I6)</f>
        <v>46.585</v>
      </c>
      <c r="K6" s="9" t="n">
        <v>3</v>
      </c>
      <c r="L6" s="9" t="n">
        <v>3</v>
      </c>
      <c r="M6" s="5" t="s">
        <v>23</v>
      </c>
      <c r="N6" s="6" t="s">
        <v>33</v>
      </c>
    </row>
    <row r="7" customFormat="false" ht="19.5" hidden="false" customHeight="true" outlineLevel="0" collapsed="false">
      <c r="A7" s="10" t="s">
        <v>34</v>
      </c>
      <c r="B7" s="11" t="s">
        <v>35</v>
      </c>
      <c r="C7" s="10" t="s">
        <v>18</v>
      </c>
      <c r="D7" s="10" t="s">
        <v>27</v>
      </c>
      <c r="E7" s="10" t="s">
        <v>27</v>
      </c>
      <c r="F7" s="10" t="s">
        <v>36</v>
      </c>
      <c r="G7" s="10" t="s">
        <v>37</v>
      </c>
      <c r="H7" s="12" t="n">
        <v>28.4</v>
      </c>
      <c r="I7" s="13" t="n">
        <v>0.21</v>
      </c>
      <c r="J7" s="12" t="n">
        <f aca="false">H7*(1+I7)</f>
        <v>34.364</v>
      </c>
      <c r="K7" s="14" t="n">
        <v>4</v>
      </c>
      <c r="L7" s="14" t="n">
        <v>4</v>
      </c>
      <c r="M7" s="10" t="s">
        <v>23</v>
      </c>
      <c r="N7" s="11" t="s">
        <v>38</v>
      </c>
    </row>
    <row r="8" customFormat="false" ht="19.5" hidden="false" customHeight="true" outlineLevel="0" collapsed="false">
      <c r="A8" s="5" t="s">
        <v>39</v>
      </c>
      <c r="B8" s="6" t="s">
        <v>40</v>
      </c>
      <c r="C8" s="5" t="s">
        <v>18</v>
      </c>
      <c r="D8" s="5" t="s">
        <v>41</v>
      </c>
      <c r="E8" s="5" t="s">
        <v>41</v>
      </c>
      <c r="F8" s="5" t="s">
        <v>42</v>
      </c>
      <c r="G8" s="5" t="s">
        <v>22</v>
      </c>
      <c r="H8" s="7" t="n">
        <v>89.7</v>
      </c>
      <c r="I8" s="8" t="n">
        <v>0.21</v>
      </c>
      <c r="J8" s="7" t="n">
        <f aca="false">H8*(1+I8)</f>
        <v>108.537</v>
      </c>
      <c r="K8" s="9" t="n">
        <v>2</v>
      </c>
      <c r="L8" s="9" t="n">
        <v>2</v>
      </c>
      <c r="M8" s="5" t="s">
        <v>23</v>
      </c>
      <c r="N8" s="6" t="s">
        <v>43</v>
      </c>
    </row>
    <row r="9" customFormat="false" ht="19.5" hidden="false" customHeight="true" outlineLevel="0" collapsed="false">
      <c r="A9" s="10" t="s">
        <v>44</v>
      </c>
      <c r="B9" s="11" t="s">
        <v>45</v>
      </c>
      <c r="C9" s="10" t="s">
        <v>18</v>
      </c>
      <c r="D9" s="10" t="s">
        <v>19</v>
      </c>
      <c r="E9" s="10" t="s">
        <v>20</v>
      </c>
      <c r="F9" s="10" t="s">
        <v>46</v>
      </c>
      <c r="G9" s="10" t="s">
        <v>22</v>
      </c>
      <c r="H9" s="12" t="n">
        <v>41.2</v>
      </c>
      <c r="I9" s="13" t="n">
        <v>0.21</v>
      </c>
      <c r="J9" s="12" t="n">
        <f aca="false">H9*(1+I9)</f>
        <v>49.852</v>
      </c>
      <c r="K9" s="14" t="n">
        <v>1</v>
      </c>
      <c r="L9" s="14" t="n">
        <v>2</v>
      </c>
      <c r="M9" s="10" t="s">
        <v>23</v>
      </c>
      <c r="N9" s="11" t="s">
        <v>47</v>
      </c>
    </row>
    <row r="10" customFormat="false" ht="19.5" hidden="false" customHeight="true" outlineLevel="0" collapsed="false">
      <c r="A10" s="5" t="s">
        <v>48</v>
      </c>
      <c r="B10" s="6" t="s">
        <v>49</v>
      </c>
      <c r="C10" s="5" t="s">
        <v>50</v>
      </c>
      <c r="D10" s="5" t="s">
        <v>51</v>
      </c>
      <c r="E10" s="5" t="s">
        <v>51</v>
      </c>
      <c r="F10" s="5" t="s">
        <v>52</v>
      </c>
      <c r="G10" s="5" t="s">
        <v>53</v>
      </c>
      <c r="H10" s="7" t="n">
        <v>3.85</v>
      </c>
      <c r="I10" s="8" t="n">
        <v>0.21</v>
      </c>
      <c r="J10" s="7" t="n">
        <f aca="false">H10*(1+I10)</f>
        <v>4.6585</v>
      </c>
      <c r="K10" s="9" t="n">
        <v>10</v>
      </c>
      <c r="L10" s="9" t="n">
        <v>10</v>
      </c>
      <c r="M10" s="5" t="s">
        <v>23</v>
      </c>
      <c r="N10" s="6" t="s">
        <v>54</v>
      </c>
    </row>
    <row r="11" customFormat="false" ht="19.5" hidden="false" customHeight="true" outlineLevel="0" collapsed="false">
      <c r="A11" s="10" t="s">
        <v>55</v>
      </c>
      <c r="B11" s="11" t="s">
        <v>56</v>
      </c>
      <c r="C11" s="10" t="s">
        <v>50</v>
      </c>
      <c r="D11" s="10" t="s">
        <v>57</v>
      </c>
      <c r="E11" s="10" t="s">
        <v>58</v>
      </c>
      <c r="F11" s="10" t="s">
        <v>59</v>
      </c>
      <c r="G11" s="10" t="s">
        <v>60</v>
      </c>
      <c r="H11" s="12" t="n">
        <v>42</v>
      </c>
      <c r="I11" s="13" t="n">
        <v>0.21</v>
      </c>
      <c r="J11" s="12" t="n">
        <f aca="false">H11*(1+I11)</f>
        <v>50.82</v>
      </c>
      <c r="K11" s="14" t="n">
        <v>5</v>
      </c>
      <c r="L11" s="14" t="n">
        <v>5</v>
      </c>
      <c r="M11" s="10" t="s">
        <v>23</v>
      </c>
      <c r="N11" s="11"/>
    </row>
    <row r="12" customFormat="false" ht="19.5" hidden="false" customHeight="true" outlineLevel="0" collapsed="false">
      <c r="A12" s="5" t="s">
        <v>61</v>
      </c>
      <c r="B12" s="6" t="s">
        <v>62</v>
      </c>
      <c r="C12" s="5" t="s">
        <v>50</v>
      </c>
      <c r="D12" s="5" t="s">
        <v>57</v>
      </c>
      <c r="E12" s="5" t="s">
        <v>58</v>
      </c>
      <c r="F12" s="5" t="s">
        <v>63</v>
      </c>
      <c r="G12" s="5" t="s">
        <v>60</v>
      </c>
      <c r="H12" s="7" t="n">
        <v>38</v>
      </c>
      <c r="I12" s="8" t="n">
        <v>0.21</v>
      </c>
      <c r="J12" s="7" t="n">
        <f aca="false">H12*(1+I12)</f>
        <v>45.98</v>
      </c>
      <c r="K12" s="9" t="n">
        <v>5</v>
      </c>
      <c r="L12" s="9" t="n">
        <v>5</v>
      </c>
      <c r="M12" s="5" t="s">
        <v>23</v>
      </c>
      <c r="N12" s="6"/>
    </row>
    <row r="13" customFormat="false" ht="19.5" hidden="false" customHeight="true" outlineLevel="0" collapsed="false">
      <c r="A13" s="10" t="s">
        <v>64</v>
      </c>
      <c r="B13" s="11" t="s">
        <v>65</v>
      </c>
      <c r="C13" s="10" t="s">
        <v>50</v>
      </c>
      <c r="D13" s="10" t="s">
        <v>51</v>
      </c>
      <c r="E13" s="10" t="s">
        <v>51</v>
      </c>
      <c r="F13" s="10" t="s">
        <v>66</v>
      </c>
      <c r="G13" s="10" t="s">
        <v>67</v>
      </c>
      <c r="H13" s="12" t="n">
        <v>18.5</v>
      </c>
      <c r="I13" s="13" t="n">
        <v>0.21</v>
      </c>
      <c r="J13" s="12" t="n">
        <f aca="false">H13*(1+I13)</f>
        <v>22.385</v>
      </c>
      <c r="K13" s="14" t="n">
        <v>3</v>
      </c>
      <c r="L13" s="14" t="n">
        <v>5</v>
      </c>
      <c r="M13" s="10" t="s">
        <v>23</v>
      </c>
      <c r="N13" s="11"/>
    </row>
    <row r="14" customFormat="false" ht="19.5" hidden="false" customHeight="true" outlineLevel="0" collapsed="false">
      <c r="A14" s="5" t="s">
        <v>68</v>
      </c>
      <c r="B14" s="6" t="s">
        <v>69</v>
      </c>
      <c r="C14" s="5" t="s">
        <v>50</v>
      </c>
      <c r="D14" s="5" t="s">
        <v>51</v>
      </c>
      <c r="E14" s="5" t="s">
        <v>51</v>
      </c>
      <c r="F14" s="5" t="s">
        <v>70</v>
      </c>
      <c r="G14" s="5" t="s">
        <v>67</v>
      </c>
      <c r="H14" s="7" t="n">
        <v>14.8</v>
      </c>
      <c r="I14" s="8" t="n">
        <v>0.21</v>
      </c>
      <c r="J14" s="7" t="n">
        <f aca="false">H14*(1+I14)</f>
        <v>17.908</v>
      </c>
      <c r="K14" s="9" t="n">
        <v>3</v>
      </c>
      <c r="L14" s="9" t="n">
        <v>5</v>
      </c>
      <c r="M14" s="5" t="s">
        <v>23</v>
      </c>
      <c r="N14" s="6"/>
    </row>
    <row r="15" customFormat="false" ht="19.5" hidden="false" customHeight="true" outlineLevel="0" collapsed="false">
      <c r="A15" s="10" t="s">
        <v>71</v>
      </c>
      <c r="B15" s="11" t="s">
        <v>72</v>
      </c>
      <c r="C15" s="10" t="s">
        <v>50</v>
      </c>
      <c r="D15" s="10" t="s">
        <v>51</v>
      </c>
      <c r="E15" s="10" t="s">
        <v>51</v>
      </c>
      <c r="F15" s="10" t="s">
        <v>73</v>
      </c>
      <c r="G15" s="10" t="s">
        <v>67</v>
      </c>
      <c r="H15" s="12" t="n">
        <v>16.2</v>
      </c>
      <c r="I15" s="13" t="n">
        <v>0.21</v>
      </c>
      <c r="J15" s="12" t="n">
        <f aca="false">H15*(1+I15)</f>
        <v>19.602</v>
      </c>
      <c r="K15" s="14" t="n">
        <v>3</v>
      </c>
      <c r="L15" s="14" t="n">
        <v>5</v>
      </c>
      <c r="M15" s="10" t="s">
        <v>23</v>
      </c>
      <c r="N15" s="11"/>
    </row>
    <row r="16" customFormat="false" ht="19.5" hidden="false" customHeight="true" outlineLevel="0" collapsed="false">
      <c r="A16" s="5" t="s">
        <v>74</v>
      </c>
      <c r="B16" s="6" t="s">
        <v>75</v>
      </c>
      <c r="C16" s="5" t="s">
        <v>76</v>
      </c>
      <c r="D16" s="5" t="s">
        <v>77</v>
      </c>
      <c r="E16" s="5" t="s">
        <v>78</v>
      </c>
      <c r="F16" s="5" t="s">
        <v>79</v>
      </c>
      <c r="G16" s="5" t="s">
        <v>80</v>
      </c>
      <c r="H16" s="7" t="n">
        <v>8.9</v>
      </c>
      <c r="I16" s="8" t="n">
        <v>0.21</v>
      </c>
      <c r="J16" s="7" t="n">
        <f aca="false">H16*(1+I16)</f>
        <v>10.769</v>
      </c>
      <c r="K16" s="9" t="n">
        <v>5</v>
      </c>
      <c r="L16" s="9" t="n">
        <v>10</v>
      </c>
      <c r="M16" s="5" t="s">
        <v>23</v>
      </c>
      <c r="N16" s="6" t="s">
        <v>81</v>
      </c>
    </row>
    <row r="17" customFormat="false" ht="19.5" hidden="false" customHeight="true" outlineLevel="0" collapsed="false">
      <c r="A17" s="10" t="s">
        <v>82</v>
      </c>
      <c r="B17" s="11" t="s">
        <v>83</v>
      </c>
      <c r="C17" s="10" t="s">
        <v>76</v>
      </c>
      <c r="D17" s="10" t="s">
        <v>77</v>
      </c>
      <c r="E17" s="10" t="s">
        <v>78</v>
      </c>
      <c r="F17" s="10" t="s">
        <v>84</v>
      </c>
      <c r="G17" s="10" t="s">
        <v>80</v>
      </c>
      <c r="H17" s="12" t="n">
        <v>8.9</v>
      </c>
      <c r="I17" s="13" t="n">
        <v>0.21</v>
      </c>
      <c r="J17" s="12" t="n">
        <f aca="false">H17*(1+I17)</f>
        <v>10.769</v>
      </c>
      <c r="K17" s="14" t="n">
        <v>5</v>
      </c>
      <c r="L17" s="14" t="n">
        <v>10</v>
      </c>
      <c r="M17" s="10" t="s">
        <v>23</v>
      </c>
      <c r="N17" s="11"/>
    </row>
    <row r="18" customFormat="false" ht="19.5" hidden="false" customHeight="true" outlineLevel="0" collapsed="false">
      <c r="A18" s="5" t="s">
        <v>85</v>
      </c>
      <c r="B18" s="6" t="s">
        <v>86</v>
      </c>
      <c r="C18" s="5" t="s">
        <v>76</v>
      </c>
      <c r="D18" s="5" t="s">
        <v>87</v>
      </c>
      <c r="E18" s="5" t="s">
        <v>88</v>
      </c>
      <c r="F18" s="5" t="s">
        <v>89</v>
      </c>
      <c r="G18" s="5" t="s">
        <v>90</v>
      </c>
      <c r="H18" s="7" t="n">
        <v>14.5</v>
      </c>
      <c r="I18" s="8" t="n">
        <v>0.21</v>
      </c>
      <c r="J18" s="7" t="n">
        <f aca="false">H18*(1+I18)</f>
        <v>17.545</v>
      </c>
      <c r="K18" s="9" t="n">
        <v>3</v>
      </c>
      <c r="L18" s="9" t="n">
        <v>5</v>
      </c>
      <c r="M18" s="5" t="s">
        <v>23</v>
      </c>
      <c r="N18" s="6" t="s">
        <v>91</v>
      </c>
    </row>
    <row r="19" customFormat="false" ht="19.5" hidden="false" customHeight="true" outlineLevel="0" collapsed="false">
      <c r="A19" s="10" t="s">
        <v>92</v>
      </c>
      <c r="B19" s="11" t="s">
        <v>93</v>
      </c>
      <c r="C19" s="10" t="s">
        <v>94</v>
      </c>
      <c r="D19" s="10" t="s">
        <v>95</v>
      </c>
      <c r="E19" s="10" t="s">
        <v>96</v>
      </c>
      <c r="F19" s="10" t="s">
        <v>97</v>
      </c>
      <c r="G19" s="10" t="s">
        <v>98</v>
      </c>
      <c r="H19" s="12" t="n">
        <v>9.2</v>
      </c>
      <c r="I19" s="13" t="n">
        <v>0.21</v>
      </c>
      <c r="J19" s="12" t="n">
        <f aca="false">H19*(1+I19)</f>
        <v>11.132</v>
      </c>
      <c r="K19" s="14" t="n">
        <v>5</v>
      </c>
      <c r="L19" s="14" t="n">
        <v>5</v>
      </c>
      <c r="M19" s="10" t="s">
        <v>23</v>
      </c>
      <c r="N19" s="11" t="s">
        <v>99</v>
      </c>
    </row>
    <row r="20" customFormat="false" ht="19.5" hidden="false" customHeight="true" outlineLevel="0" collapsed="false">
      <c r="A20" s="5" t="s">
        <v>100</v>
      </c>
      <c r="B20" s="6" t="s">
        <v>101</v>
      </c>
      <c r="C20" s="5" t="s">
        <v>94</v>
      </c>
      <c r="D20" s="5" t="s">
        <v>95</v>
      </c>
      <c r="E20" s="5" t="s">
        <v>96</v>
      </c>
      <c r="F20" s="5" t="s">
        <v>102</v>
      </c>
      <c r="G20" s="5" t="s">
        <v>98</v>
      </c>
      <c r="H20" s="7" t="n">
        <v>9.2</v>
      </c>
      <c r="I20" s="8" t="n">
        <v>0.21</v>
      </c>
      <c r="J20" s="7" t="n">
        <f aca="false">H20*(1+I20)</f>
        <v>11.132</v>
      </c>
      <c r="K20" s="9" t="n">
        <v>5</v>
      </c>
      <c r="L20" s="9" t="n">
        <v>5</v>
      </c>
      <c r="M20" s="5" t="s">
        <v>23</v>
      </c>
      <c r="N20" s="6" t="s">
        <v>103</v>
      </c>
    </row>
    <row r="21" customFormat="false" ht="19.5" hidden="false" customHeight="true" outlineLevel="0" collapsed="false">
      <c r="A21" s="10" t="s">
        <v>104</v>
      </c>
      <c r="B21" s="11" t="s">
        <v>105</v>
      </c>
      <c r="C21" s="10" t="s">
        <v>94</v>
      </c>
      <c r="D21" s="10" t="s">
        <v>106</v>
      </c>
      <c r="E21" s="10" t="s">
        <v>106</v>
      </c>
      <c r="F21" s="10" t="s">
        <v>107</v>
      </c>
      <c r="G21" s="10" t="s">
        <v>108</v>
      </c>
      <c r="H21" s="12" t="n">
        <v>6.8</v>
      </c>
      <c r="I21" s="13" t="n">
        <v>0.21</v>
      </c>
      <c r="J21" s="12" t="n">
        <f aca="false">H21*(1+I21)</f>
        <v>8.228</v>
      </c>
      <c r="K21" s="14" t="n">
        <v>3</v>
      </c>
      <c r="L21" s="14" t="n">
        <v>6</v>
      </c>
      <c r="M21" s="10" t="s">
        <v>23</v>
      </c>
      <c r="N21" s="11" t="s">
        <v>109</v>
      </c>
    </row>
    <row r="22" customFormat="false" ht="19.5" hidden="false" customHeight="true" outlineLevel="0" collapsed="false">
      <c r="A22" s="5" t="s">
        <v>110</v>
      </c>
      <c r="B22" s="6" t="s">
        <v>111</v>
      </c>
      <c r="C22" s="5" t="s">
        <v>94</v>
      </c>
      <c r="D22" s="5" t="s">
        <v>106</v>
      </c>
      <c r="E22" s="5" t="s">
        <v>106</v>
      </c>
      <c r="F22" s="5" t="s">
        <v>112</v>
      </c>
      <c r="G22" s="5" t="s">
        <v>108</v>
      </c>
      <c r="H22" s="7" t="n">
        <v>6.8</v>
      </c>
      <c r="I22" s="8" t="n">
        <v>0.21</v>
      </c>
      <c r="J22" s="7" t="n">
        <f aca="false">H22*(1+I22)</f>
        <v>8.228</v>
      </c>
      <c r="K22" s="9" t="n">
        <v>3</v>
      </c>
      <c r="L22" s="9" t="n">
        <v>6</v>
      </c>
      <c r="M22" s="5" t="s">
        <v>23</v>
      </c>
      <c r="N22" s="6" t="s">
        <v>109</v>
      </c>
    </row>
    <row r="23" customFormat="false" ht="19.5" hidden="false" customHeight="true" outlineLevel="0" collapsed="false">
      <c r="A23" s="10" t="s">
        <v>113</v>
      </c>
      <c r="B23" s="11" t="s">
        <v>114</v>
      </c>
      <c r="C23" s="10" t="s">
        <v>115</v>
      </c>
      <c r="D23" s="10" t="s">
        <v>116</v>
      </c>
      <c r="E23" s="10" t="s">
        <v>116</v>
      </c>
      <c r="F23" s="10" t="s">
        <v>117</v>
      </c>
      <c r="G23" s="10" t="s">
        <v>118</v>
      </c>
      <c r="H23" s="12" t="n">
        <v>28.5</v>
      </c>
      <c r="I23" s="13" t="n">
        <v>0.21</v>
      </c>
      <c r="J23" s="12" t="n">
        <f aca="false">H23*(1+I23)</f>
        <v>34.485</v>
      </c>
      <c r="K23" s="14" t="n">
        <v>2</v>
      </c>
      <c r="L23" s="14" t="n">
        <v>2</v>
      </c>
      <c r="M23" s="10" t="s">
        <v>23</v>
      </c>
      <c r="N23" s="11" t="s">
        <v>119</v>
      </c>
    </row>
    <row r="24" customFormat="false" ht="19.5" hidden="false" customHeight="true" outlineLevel="0" collapsed="false">
      <c r="A24" s="5" t="s">
        <v>120</v>
      </c>
      <c r="B24" s="6" t="s">
        <v>121</v>
      </c>
      <c r="C24" s="5" t="s">
        <v>122</v>
      </c>
      <c r="D24" s="5" t="s">
        <v>27</v>
      </c>
      <c r="E24" s="5" t="s">
        <v>27</v>
      </c>
      <c r="F24" s="5" t="s">
        <v>123</v>
      </c>
      <c r="G24" s="5" t="s">
        <v>124</v>
      </c>
      <c r="H24" s="7" t="n">
        <v>185</v>
      </c>
      <c r="I24" s="8" t="n">
        <v>0.21</v>
      </c>
      <c r="J24" s="7" t="n">
        <f aca="false">H24*(1+I24)</f>
        <v>223.85</v>
      </c>
      <c r="K24" s="9" t="n">
        <v>1</v>
      </c>
      <c r="L24" s="9" t="n">
        <v>1</v>
      </c>
      <c r="M24" s="5" t="s">
        <v>23</v>
      </c>
      <c r="N24" s="6" t="s">
        <v>125</v>
      </c>
    </row>
    <row r="25" customFormat="false" ht="19.5" hidden="false" customHeight="true" outlineLevel="0" collapsed="false">
      <c r="A25" s="10" t="s">
        <v>126</v>
      </c>
      <c r="B25" s="11" t="s">
        <v>127</v>
      </c>
      <c r="C25" s="10" t="s">
        <v>128</v>
      </c>
      <c r="D25" s="10" t="s">
        <v>129</v>
      </c>
      <c r="E25" s="10" t="s">
        <v>130</v>
      </c>
      <c r="F25" s="10" t="s">
        <v>131</v>
      </c>
      <c r="G25" s="10" t="s">
        <v>132</v>
      </c>
      <c r="H25" s="12" t="n">
        <v>38.6</v>
      </c>
      <c r="I25" s="13" t="n">
        <v>0.21</v>
      </c>
      <c r="J25" s="12" t="n">
        <f aca="false">H25*(1+I25)</f>
        <v>46.706</v>
      </c>
      <c r="K25" s="14" t="n">
        <v>3</v>
      </c>
      <c r="L25" s="14" t="n">
        <v>5</v>
      </c>
      <c r="M25" s="10" t="s">
        <v>23</v>
      </c>
      <c r="N25" s="11" t="s">
        <v>133</v>
      </c>
    </row>
    <row r="26" customFormat="false" ht="19.5" hidden="false" customHeight="true" outlineLevel="0" collapsed="false">
      <c r="A26" s="5" t="s">
        <v>134</v>
      </c>
      <c r="B26" s="6" t="s">
        <v>135</v>
      </c>
      <c r="C26" s="5" t="s">
        <v>128</v>
      </c>
      <c r="D26" s="5" t="s">
        <v>129</v>
      </c>
      <c r="E26" s="5" t="s">
        <v>130</v>
      </c>
      <c r="F26" s="5" t="s">
        <v>136</v>
      </c>
      <c r="G26" s="5" t="s">
        <v>132</v>
      </c>
      <c r="H26" s="7" t="n">
        <v>42.8</v>
      </c>
      <c r="I26" s="8" t="n">
        <v>0.21</v>
      </c>
      <c r="J26" s="7" t="n">
        <f aca="false">H26*(1+I26)</f>
        <v>51.788</v>
      </c>
      <c r="K26" s="9" t="n">
        <v>2</v>
      </c>
      <c r="L26" s="9" t="n">
        <v>3</v>
      </c>
      <c r="M26" s="5" t="s">
        <v>23</v>
      </c>
      <c r="N26" s="6" t="s">
        <v>137</v>
      </c>
    </row>
    <row r="27" customFormat="false" ht="19.5" hidden="false" customHeight="true" outlineLevel="0" collapsed="false">
      <c r="A27" s="10" t="s">
        <v>138</v>
      </c>
      <c r="B27" s="11" t="s">
        <v>139</v>
      </c>
      <c r="C27" s="10" t="s">
        <v>140</v>
      </c>
      <c r="D27" s="10" t="s">
        <v>51</v>
      </c>
      <c r="E27" s="10" t="s">
        <v>141</v>
      </c>
      <c r="F27" s="10" t="s">
        <v>142</v>
      </c>
      <c r="G27" s="10" t="s">
        <v>143</v>
      </c>
      <c r="H27" s="12" t="n">
        <v>12.4</v>
      </c>
      <c r="I27" s="13" t="n">
        <v>0.21</v>
      </c>
      <c r="J27" s="12" t="n">
        <f aca="false">H27*(1+I27)</f>
        <v>15.004</v>
      </c>
      <c r="K27" s="14" t="n">
        <v>2</v>
      </c>
      <c r="L27" s="14" t="n">
        <v>2</v>
      </c>
      <c r="M27" s="10" t="s">
        <v>23</v>
      </c>
      <c r="N27" s="11"/>
    </row>
    <row r="28" customFormat="false" ht="19.5" hidden="false" customHeight="true" outlineLevel="0" collapsed="false">
      <c r="A28" s="5" t="s">
        <v>144</v>
      </c>
      <c r="B28" s="6" t="s">
        <v>145</v>
      </c>
      <c r="C28" s="5" t="s">
        <v>140</v>
      </c>
      <c r="D28" s="5" t="s">
        <v>51</v>
      </c>
      <c r="E28" s="5" t="s">
        <v>146</v>
      </c>
      <c r="F28" s="5" t="s">
        <v>147</v>
      </c>
      <c r="G28" s="5" t="s">
        <v>143</v>
      </c>
      <c r="H28" s="7" t="n">
        <v>8.9</v>
      </c>
      <c r="I28" s="8" t="n">
        <v>0.21</v>
      </c>
      <c r="J28" s="7" t="n">
        <f aca="false">H28*(1+I28)</f>
        <v>10.769</v>
      </c>
      <c r="K28" s="9" t="n">
        <v>4</v>
      </c>
      <c r="L28" s="9" t="n">
        <v>4</v>
      </c>
      <c r="M28" s="5" t="s">
        <v>23</v>
      </c>
      <c r="N28" s="6"/>
    </row>
    <row r="29" customFormat="false" ht="19.5" hidden="false" customHeight="true" outlineLevel="0" collapsed="false">
      <c r="A29" s="10" t="s">
        <v>148</v>
      </c>
      <c r="B29" s="11" t="s">
        <v>149</v>
      </c>
      <c r="C29" s="10" t="s">
        <v>94</v>
      </c>
      <c r="D29" s="10" t="s">
        <v>150</v>
      </c>
      <c r="E29" s="10" t="s">
        <v>150</v>
      </c>
      <c r="F29" s="10" t="s">
        <v>151</v>
      </c>
      <c r="G29" s="10" t="s">
        <v>108</v>
      </c>
      <c r="H29" s="12" t="n">
        <v>2.8</v>
      </c>
      <c r="I29" s="13" t="n">
        <v>0.21</v>
      </c>
      <c r="J29" s="12" t="n">
        <f aca="false">H29*(1+I29)</f>
        <v>3.388</v>
      </c>
      <c r="K29" s="14" t="n">
        <v>10</v>
      </c>
      <c r="L29" s="14" t="n">
        <v>20</v>
      </c>
      <c r="M29" s="10" t="s">
        <v>23</v>
      </c>
      <c r="N29" s="11" t="s">
        <v>152</v>
      </c>
    </row>
    <row r="30" customFormat="false" ht="19.5" hidden="false" customHeight="true" outlineLevel="0" collapsed="false">
      <c r="A30" s="5" t="s">
        <v>153</v>
      </c>
      <c r="B30" s="6" t="s">
        <v>154</v>
      </c>
      <c r="C30" s="5" t="s">
        <v>50</v>
      </c>
      <c r="D30" s="5" t="s">
        <v>155</v>
      </c>
      <c r="E30" s="5" t="s">
        <v>156</v>
      </c>
      <c r="F30" s="5" t="s">
        <v>157</v>
      </c>
      <c r="G30" s="5" t="s">
        <v>80</v>
      </c>
      <c r="H30" s="7" t="n">
        <v>28</v>
      </c>
      <c r="I30" s="8" t="n">
        <v>0.21</v>
      </c>
      <c r="J30" s="7" t="n">
        <f aca="false">H30*(1+I30)</f>
        <v>33.88</v>
      </c>
      <c r="K30" s="9" t="n">
        <v>2</v>
      </c>
      <c r="L30" s="9" t="n">
        <v>3</v>
      </c>
      <c r="M30" s="5" t="s">
        <v>23</v>
      </c>
      <c r="N30" s="6"/>
    </row>
    <row r="31" customFormat="false" ht="19.5" hidden="false" customHeight="true" outlineLevel="0" collapsed="false">
      <c r="A31" s="10" t="s">
        <v>158</v>
      </c>
      <c r="B31" s="11" t="s">
        <v>159</v>
      </c>
      <c r="C31" s="10" t="s">
        <v>50</v>
      </c>
      <c r="D31" s="10" t="s">
        <v>51</v>
      </c>
      <c r="E31" s="10" t="s">
        <v>160</v>
      </c>
      <c r="F31" s="10" t="s">
        <v>161</v>
      </c>
      <c r="G31" s="10" t="s">
        <v>60</v>
      </c>
      <c r="H31" s="12" t="n">
        <v>89</v>
      </c>
      <c r="I31" s="13" t="n">
        <v>0.21</v>
      </c>
      <c r="J31" s="12" t="n">
        <f aca="false">H31*(1+I31)</f>
        <v>107.69</v>
      </c>
      <c r="K31" s="14" t="n">
        <v>2</v>
      </c>
      <c r="L31" s="14" t="n">
        <v>2</v>
      </c>
      <c r="M31" s="10" t="s">
        <v>23</v>
      </c>
      <c r="N31" s="11" t="s">
        <v>162</v>
      </c>
    </row>
    <row r="32" customFormat="false" ht="19.5" hidden="false" customHeight="true" outlineLevel="0" collapsed="false">
      <c r="A32" s="5" t="s">
        <v>163</v>
      </c>
      <c r="B32" s="6" t="s">
        <v>164</v>
      </c>
      <c r="C32" s="5" t="s">
        <v>94</v>
      </c>
      <c r="D32" s="5" t="s">
        <v>165</v>
      </c>
      <c r="E32" s="5" t="s">
        <v>166</v>
      </c>
      <c r="F32" s="5" t="s">
        <v>167</v>
      </c>
      <c r="G32" s="5" t="s">
        <v>168</v>
      </c>
      <c r="H32" s="7" t="n">
        <v>14.2</v>
      </c>
      <c r="I32" s="8" t="n">
        <v>0.21</v>
      </c>
      <c r="J32" s="7" t="n">
        <f aca="false">H32*(1+I32)</f>
        <v>17.182</v>
      </c>
      <c r="K32" s="9" t="n">
        <v>3</v>
      </c>
      <c r="L32" s="9" t="n">
        <v>6</v>
      </c>
      <c r="M32" s="5" t="s">
        <v>23</v>
      </c>
      <c r="N32" s="6" t="s">
        <v>169</v>
      </c>
    </row>
    <row r="33" customFormat="false" ht="19.5" hidden="false" customHeight="true" outlineLevel="0" collapsed="false">
      <c r="A33" s="10" t="s">
        <v>170</v>
      </c>
      <c r="B33" s="11" t="s">
        <v>171</v>
      </c>
      <c r="C33" s="10" t="s">
        <v>94</v>
      </c>
      <c r="D33" s="10" t="s">
        <v>20</v>
      </c>
      <c r="E33" s="10" t="s">
        <v>20</v>
      </c>
      <c r="F33" s="10" t="s">
        <v>172</v>
      </c>
      <c r="G33" s="10" t="s">
        <v>173</v>
      </c>
      <c r="H33" s="12" t="n">
        <v>8.5</v>
      </c>
      <c r="I33" s="13" t="n">
        <v>0.21</v>
      </c>
      <c r="J33" s="12" t="n">
        <f aca="false">H33*(1+I33)</f>
        <v>10.285</v>
      </c>
      <c r="K33" s="14" t="n">
        <v>3</v>
      </c>
      <c r="L33" s="14" t="n">
        <v>6</v>
      </c>
      <c r="M33" s="10" t="s">
        <v>23</v>
      </c>
      <c r="N33" s="11" t="s">
        <v>174</v>
      </c>
    </row>
    <row r="34" customFormat="false" ht="19.5" hidden="false" customHeight="true" outlineLevel="0" collapsed="false">
      <c r="A34" s="5" t="s">
        <v>175</v>
      </c>
      <c r="B34" s="6" t="s">
        <v>176</v>
      </c>
      <c r="C34" s="5" t="s">
        <v>18</v>
      </c>
      <c r="D34" s="5" t="s">
        <v>177</v>
      </c>
      <c r="E34" s="5" t="s">
        <v>177</v>
      </c>
      <c r="F34" s="5" t="s">
        <v>178</v>
      </c>
      <c r="G34" s="5" t="s">
        <v>179</v>
      </c>
      <c r="H34" s="15" t="n">
        <v>0.0906</v>
      </c>
      <c r="I34" s="8" t="n">
        <v>0.21</v>
      </c>
      <c r="J34" s="15" t="n">
        <f aca="false">H34*(1+I34)</f>
        <v>0.109626</v>
      </c>
      <c r="K34" s="9" t="n">
        <v>3</v>
      </c>
      <c r="L34" s="9" t="n">
        <v>5</v>
      </c>
      <c r="M34" s="5" t="s">
        <v>23</v>
      </c>
      <c r="N34" s="6"/>
    </row>
    <row r="35" customFormat="false" ht="19.5" hidden="false" customHeight="true" outlineLevel="0" collapsed="false">
      <c r="A35" s="10" t="s">
        <v>180</v>
      </c>
      <c r="B35" s="11" t="s">
        <v>181</v>
      </c>
      <c r="C35" s="10" t="s">
        <v>18</v>
      </c>
      <c r="D35" s="10" t="s">
        <v>177</v>
      </c>
      <c r="E35" s="10" t="s">
        <v>177</v>
      </c>
      <c r="F35" s="10" t="s">
        <v>182</v>
      </c>
      <c r="G35" s="10" t="s">
        <v>179</v>
      </c>
      <c r="H35" s="16" t="n">
        <v>0.0906</v>
      </c>
      <c r="I35" s="13" t="n">
        <v>0.21</v>
      </c>
      <c r="J35" s="16" t="n">
        <f aca="false">H35*(1+I35)</f>
        <v>0.109626</v>
      </c>
      <c r="K35" s="14" t="n">
        <v>3</v>
      </c>
      <c r="L35" s="14" t="n">
        <v>5</v>
      </c>
      <c r="M35" s="10" t="s">
        <v>23</v>
      </c>
      <c r="N35" s="11"/>
    </row>
    <row r="36" customFormat="false" ht="19.5" hidden="false" customHeight="true" outlineLevel="0" collapsed="false">
      <c r="A36" s="5" t="s">
        <v>183</v>
      </c>
      <c r="B36" s="6" t="s">
        <v>184</v>
      </c>
      <c r="C36" s="5" t="s">
        <v>18</v>
      </c>
      <c r="D36" s="5" t="s">
        <v>177</v>
      </c>
      <c r="E36" s="5" t="s">
        <v>177</v>
      </c>
      <c r="F36" s="5" t="s">
        <v>185</v>
      </c>
      <c r="G36" s="5" t="s">
        <v>179</v>
      </c>
      <c r="H36" s="15" t="n">
        <v>0.064417</v>
      </c>
      <c r="I36" s="8" t="n">
        <v>0.21</v>
      </c>
      <c r="J36" s="15" t="n">
        <f aca="false">H36*(1+I36)</f>
        <v>0.07794457</v>
      </c>
      <c r="K36" s="9" t="n">
        <v>3</v>
      </c>
      <c r="L36" s="9" t="n">
        <v>5</v>
      </c>
      <c r="M36" s="5" t="s">
        <v>23</v>
      </c>
      <c r="N36" s="6"/>
    </row>
    <row r="37" customFormat="false" ht="19.5" hidden="false" customHeight="true" outlineLevel="0" collapsed="false">
      <c r="A37" s="10" t="s">
        <v>186</v>
      </c>
      <c r="B37" s="11" t="s">
        <v>187</v>
      </c>
      <c r="C37" s="10" t="s">
        <v>128</v>
      </c>
      <c r="D37" s="10" t="s">
        <v>177</v>
      </c>
      <c r="E37" s="10" t="s">
        <v>177</v>
      </c>
      <c r="F37" s="10" t="s">
        <v>188</v>
      </c>
      <c r="G37" s="10" t="s">
        <v>143</v>
      </c>
      <c r="H37" s="16" t="n">
        <v>0.185</v>
      </c>
      <c r="I37" s="13" t="n">
        <v>0.21</v>
      </c>
      <c r="J37" s="16" t="n">
        <f aca="false">H37*(1+I37)</f>
        <v>0.22385</v>
      </c>
      <c r="K37" s="14" t="n">
        <v>3</v>
      </c>
      <c r="L37" s="14" t="n">
        <v>5</v>
      </c>
      <c r="M37" s="10" t="s">
        <v>23</v>
      </c>
      <c r="N37" s="11"/>
    </row>
    <row r="38" customFormat="false" ht="19.5" hidden="false" customHeight="true" outlineLevel="0" collapsed="false">
      <c r="A38" s="5" t="s">
        <v>189</v>
      </c>
      <c r="B38" s="6" t="s">
        <v>190</v>
      </c>
      <c r="C38" s="5" t="s">
        <v>50</v>
      </c>
      <c r="D38" s="5" t="s">
        <v>177</v>
      </c>
      <c r="E38" s="5" t="s">
        <v>177</v>
      </c>
      <c r="F38" s="5" t="s">
        <v>191</v>
      </c>
      <c r="G38" s="5" t="s">
        <v>143</v>
      </c>
      <c r="H38" s="15" t="n">
        <v>0.075</v>
      </c>
      <c r="I38" s="8" t="n">
        <v>0.21</v>
      </c>
      <c r="J38" s="15" t="n">
        <f aca="false">H38*(1+I38)</f>
        <v>0.09075</v>
      </c>
      <c r="K38" s="9" t="n">
        <v>3</v>
      </c>
      <c r="L38" s="9" t="n">
        <v>5</v>
      </c>
      <c r="M38" s="5" t="s">
        <v>23</v>
      </c>
      <c r="N38" s="6"/>
    </row>
    <row r="39" customFormat="false" ht="19.5" hidden="false" customHeight="true" outlineLevel="0" collapsed="false">
      <c r="A39" s="10" t="s">
        <v>192</v>
      </c>
      <c r="B39" s="11" t="s">
        <v>193</v>
      </c>
      <c r="C39" s="10" t="s">
        <v>50</v>
      </c>
      <c r="D39" s="10" t="s">
        <v>177</v>
      </c>
      <c r="E39" s="10" t="s">
        <v>177</v>
      </c>
      <c r="F39" s="10" t="s">
        <v>194</v>
      </c>
      <c r="G39" s="10" t="s">
        <v>195</v>
      </c>
      <c r="H39" s="16" t="n">
        <v>0.711712</v>
      </c>
      <c r="I39" s="13" t="n">
        <v>0.21</v>
      </c>
      <c r="J39" s="16" t="n">
        <f aca="false">H39*(1+I39)</f>
        <v>0.86117152</v>
      </c>
      <c r="K39" s="14" t="n">
        <v>3</v>
      </c>
      <c r="L39" s="14" t="n">
        <v>5</v>
      </c>
      <c r="M39" s="10" t="s">
        <v>23</v>
      </c>
      <c r="N39" s="11"/>
    </row>
    <row r="40" customFormat="false" ht="19.5" hidden="false" customHeight="true" outlineLevel="0" collapsed="false">
      <c r="A40" s="5" t="s">
        <v>196</v>
      </c>
      <c r="B40" s="6" t="s">
        <v>197</v>
      </c>
      <c r="C40" s="5" t="s">
        <v>50</v>
      </c>
      <c r="D40" s="5" t="s">
        <v>177</v>
      </c>
      <c r="E40" s="5" t="s">
        <v>177</v>
      </c>
      <c r="F40" s="5" t="s">
        <v>198</v>
      </c>
      <c r="G40" s="5" t="s">
        <v>199</v>
      </c>
      <c r="H40" s="15" t="n">
        <v>0.911765</v>
      </c>
      <c r="I40" s="8" t="n">
        <v>0.21</v>
      </c>
      <c r="J40" s="15" t="n">
        <f aca="false">H40*(1+I40)</f>
        <v>1.10323565</v>
      </c>
      <c r="K40" s="9" t="n">
        <v>3</v>
      </c>
      <c r="L40" s="9" t="n">
        <v>5</v>
      </c>
      <c r="M40" s="5" t="s">
        <v>23</v>
      </c>
      <c r="N40" s="6"/>
    </row>
    <row r="41" customFormat="false" ht="19.5" hidden="false" customHeight="true" outlineLevel="0" collapsed="false">
      <c r="A41" s="10" t="s">
        <v>200</v>
      </c>
      <c r="B41" s="11" t="s">
        <v>201</v>
      </c>
      <c r="C41" s="10" t="s">
        <v>18</v>
      </c>
      <c r="D41" s="10" t="s">
        <v>177</v>
      </c>
      <c r="E41" s="10" t="s">
        <v>177</v>
      </c>
      <c r="F41" s="10" t="s">
        <v>202</v>
      </c>
      <c r="G41" s="10" t="s">
        <v>143</v>
      </c>
      <c r="H41" s="16" t="n">
        <v>0.22</v>
      </c>
      <c r="I41" s="13" t="n">
        <v>0.21</v>
      </c>
      <c r="J41" s="16" t="n">
        <f aca="false">H41*(1+I41)</f>
        <v>0.2662</v>
      </c>
      <c r="K41" s="14" t="n">
        <v>3</v>
      </c>
      <c r="L41" s="14" t="n">
        <v>5</v>
      </c>
      <c r="M41" s="10" t="s">
        <v>23</v>
      </c>
      <c r="N41" s="11"/>
    </row>
    <row r="42" customFormat="false" ht="19.5" hidden="false" customHeight="true" outlineLevel="0" collapsed="false">
      <c r="A42" s="5" t="s">
        <v>203</v>
      </c>
      <c r="B42" s="6" t="s">
        <v>204</v>
      </c>
      <c r="C42" s="5" t="s">
        <v>50</v>
      </c>
      <c r="D42" s="5" t="s">
        <v>177</v>
      </c>
      <c r="E42" s="5" t="s">
        <v>177</v>
      </c>
      <c r="F42" s="5" t="s">
        <v>205</v>
      </c>
      <c r="G42" s="5" t="s">
        <v>206</v>
      </c>
      <c r="H42" s="15" t="n">
        <v>0.124286</v>
      </c>
      <c r="I42" s="8" t="n">
        <v>0.21</v>
      </c>
      <c r="J42" s="15" t="n">
        <f aca="false">H42*(1+I42)</f>
        <v>0.15038606</v>
      </c>
      <c r="K42" s="9" t="n">
        <v>3</v>
      </c>
      <c r="L42" s="9" t="n">
        <v>5</v>
      </c>
      <c r="M42" s="5" t="s">
        <v>23</v>
      </c>
      <c r="N42" s="6"/>
    </row>
    <row r="43" customFormat="false" ht="19.5" hidden="false" customHeight="true" outlineLevel="0" collapsed="false">
      <c r="A43" s="10" t="s">
        <v>207</v>
      </c>
      <c r="B43" s="11" t="s">
        <v>208</v>
      </c>
      <c r="C43" s="10" t="s">
        <v>18</v>
      </c>
      <c r="D43" s="10" t="s">
        <v>177</v>
      </c>
      <c r="E43" s="10" t="s">
        <v>177</v>
      </c>
      <c r="F43" s="10" t="s">
        <v>209</v>
      </c>
      <c r="G43" s="10" t="s">
        <v>210</v>
      </c>
      <c r="H43" s="16" t="n">
        <v>47</v>
      </c>
      <c r="I43" s="13" t="n">
        <v>0.21</v>
      </c>
      <c r="J43" s="16" t="n">
        <f aca="false">H43*(1+I43)</f>
        <v>56.87</v>
      </c>
      <c r="K43" s="14" t="n">
        <v>3</v>
      </c>
      <c r="L43" s="14" t="n">
        <v>5</v>
      </c>
      <c r="M43" s="10" t="s">
        <v>23</v>
      </c>
      <c r="N43" s="11"/>
    </row>
    <row r="44" customFormat="false" ht="19.5" hidden="false" customHeight="true" outlineLevel="0" collapsed="false">
      <c r="A44" s="5" t="s">
        <v>211</v>
      </c>
      <c r="B44" s="6" t="s">
        <v>212</v>
      </c>
      <c r="C44" s="5" t="s">
        <v>94</v>
      </c>
      <c r="D44" s="5" t="s">
        <v>177</v>
      </c>
      <c r="E44" s="5" t="s">
        <v>177</v>
      </c>
      <c r="F44" s="5" t="s">
        <v>213</v>
      </c>
      <c r="G44" s="5" t="s">
        <v>214</v>
      </c>
      <c r="H44" s="15" t="n">
        <v>228.4</v>
      </c>
      <c r="I44" s="8" t="n">
        <v>0.21</v>
      </c>
      <c r="J44" s="15" t="n">
        <f aca="false">H44*(1+I44)</f>
        <v>276.364</v>
      </c>
      <c r="K44" s="9" t="n">
        <v>1</v>
      </c>
      <c r="L44" s="9" t="n">
        <v>1</v>
      </c>
      <c r="M44" s="5" t="s">
        <v>23</v>
      </c>
      <c r="N44" s="6"/>
    </row>
    <row r="45" customFormat="false" ht="19.5" hidden="false" customHeight="true" outlineLevel="0" collapsed="false">
      <c r="A45" s="10" t="s">
        <v>215</v>
      </c>
      <c r="B45" s="11" t="s">
        <v>216</v>
      </c>
      <c r="C45" s="10" t="s">
        <v>217</v>
      </c>
      <c r="D45" s="10" t="s">
        <v>177</v>
      </c>
      <c r="E45" s="10" t="s">
        <v>177</v>
      </c>
      <c r="F45" s="10" t="s">
        <v>218</v>
      </c>
      <c r="G45" s="10" t="s">
        <v>143</v>
      </c>
      <c r="H45" s="16" t="n">
        <v>1020</v>
      </c>
      <c r="I45" s="13" t="n">
        <v>0.21</v>
      </c>
      <c r="J45" s="16" t="n">
        <f aca="false">H45*(1+I45)</f>
        <v>1234.2</v>
      </c>
      <c r="K45" s="14" t="n">
        <v>1</v>
      </c>
      <c r="L45" s="14" t="n">
        <v>1</v>
      </c>
      <c r="M45" s="10" t="s">
        <v>23</v>
      </c>
      <c r="N45" s="11"/>
    </row>
    <row r="46" customFormat="false" ht="19.5" hidden="false" customHeight="true" outlineLevel="0" collapsed="false">
      <c r="A46" s="5" t="s">
        <v>219</v>
      </c>
      <c r="B46" s="6" t="s">
        <v>220</v>
      </c>
      <c r="C46" s="5" t="s">
        <v>217</v>
      </c>
      <c r="D46" s="5" t="s">
        <v>177</v>
      </c>
      <c r="E46" s="5" t="s">
        <v>177</v>
      </c>
      <c r="F46" s="5" t="s">
        <v>221</v>
      </c>
      <c r="G46" s="5" t="s">
        <v>143</v>
      </c>
      <c r="H46" s="15" t="n">
        <v>1020</v>
      </c>
      <c r="I46" s="8" t="n">
        <v>0.21</v>
      </c>
      <c r="J46" s="15" t="n">
        <f aca="false">H46*(1+I46)</f>
        <v>1234.2</v>
      </c>
      <c r="K46" s="9" t="n">
        <v>1</v>
      </c>
      <c r="L46" s="9" t="n">
        <v>1</v>
      </c>
      <c r="M46" s="5" t="s">
        <v>23</v>
      </c>
      <c r="N46" s="6"/>
    </row>
    <row r="47" customFormat="false" ht="19.5" hidden="false" customHeight="true" outlineLevel="0" collapsed="false">
      <c r="A47" s="10" t="s">
        <v>222</v>
      </c>
      <c r="B47" s="11" t="s">
        <v>223</v>
      </c>
      <c r="C47" s="10" t="s">
        <v>50</v>
      </c>
      <c r="D47" s="10" t="s">
        <v>224</v>
      </c>
      <c r="E47" s="10" t="s">
        <v>224</v>
      </c>
      <c r="F47" s="10" t="s">
        <v>225</v>
      </c>
      <c r="G47" s="10" t="s">
        <v>226</v>
      </c>
      <c r="H47" s="16" t="n">
        <v>11.2</v>
      </c>
      <c r="I47" s="13" t="n">
        <v>0.21</v>
      </c>
      <c r="J47" s="16" t="n">
        <f aca="false">H47*(1+I47)</f>
        <v>13.552</v>
      </c>
      <c r="K47" s="14" t="n">
        <v>3</v>
      </c>
      <c r="L47" s="14" t="n">
        <v>5</v>
      </c>
      <c r="M47" s="10" t="s">
        <v>23</v>
      </c>
      <c r="N47" s="11"/>
    </row>
    <row r="48" customFormat="false" ht="19.5" hidden="false" customHeight="true" outlineLevel="0" collapsed="false">
      <c r="A48" s="5" t="s">
        <v>227</v>
      </c>
      <c r="B48" s="6" t="s">
        <v>228</v>
      </c>
      <c r="C48" s="5" t="s">
        <v>50</v>
      </c>
      <c r="D48" s="5" t="s">
        <v>224</v>
      </c>
      <c r="E48" s="5" t="s">
        <v>224</v>
      </c>
      <c r="F48" s="5" t="s">
        <v>229</v>
      </c>
      <c r="G48" s="5" t="s">
        <v>226</v>
      </c>
      <c r="H48" s="15" t="n">
        <v>17.32</v>
      </c>
      <c r="I48" s="8" t="n">
        <v>0.21</v>
      </c>
      <c r="J48" s="15" t="n">
        <f aca="false">H48*(1+I48)</f>
        <v>20.9572</v>
      </c>
      <c r="K48" s="9" t="n">
        <v>3</v>
      </c>
      <c r="L48" s="9" t="n">
        <v>5</v>
      </c>
      <c r="M48" s="5" t="s">
        <v>23</v>
      </c>
      <c r="N48" s="6"/>
    </row>
    <row r="49" customFormat="false" ht="19.5" hidden="false" customHeight="true" outlineLevel="0" collapsed="false">
      <c r="A49" s="10" t="s">
        <v>230</v>
      </c>
      <c r="B49" s="11" t="s">
        <v>231</v>
      </c>
      <c r="C49" s="10" t="s">
        <v>50</v>
      </c>
      <c r="D49" s="10" t="s">
        <v>224</v>
      </c>
      <c r="E49" s="10" t="s">
        <v>224</v>
      </c>
      <c r="F49" s="10" t="s">
        <v>232</v>
      </c>
      <c r="G49" s="10" t="s">
        <v>233</v>
      </c>
      <c r="H49" s="16" t="n">
        <v>78.95</v>
      </c>
      <c r="I49" s="13" t="n">
        <v>0.21</v>
      </c>
      <c r="J49" s="16" t="n">
        <f aca="false">H49*(1+I49)</f>
        <v>95.5295</v>
      </c>
      <c r="K49" s="14" t="n">
        <v>3</v>
      </c>
      <c r="L49" s="14" t="n">
        <v>5</v>
      </c>
      <c r="M49" s="10" t="s">
        <v>23</v>
      </c>
      <c r="N49" s="11"/>
    </row>
    <row r="50" customFormat="false" ht="19.5" hidden="false" customHeight="true" outlineLevel="0" collapsed="false">
      <c r="A50" s="5" t="s">
        <v>234</v>
      </c>
      <c r="B50" s="6" t="s">
        <v>235</v>
      </c>
      <c r="C50" s="5" t="s">
        <v>50</v>
      </c>
      <c r="D50" s="5" t="s">
        <v>224</v>
      </c>
      <c r="E50" s="5" t="s">
        <v>224</v>
      </c>
      <c r="F50" s="5" t="s">
        <v>236</v>
      </c>
      <c r="G50" s="5" t="s">
        <v>237</v>
      </c>
      <c r="H50" s="15" t="n">
        <v>65</v>
      </c>
      <c r="I50" s="8" t="n">
        <v>0.21</v>
      </c>
      <c r="J50" s="15" t="n">
        <f aca="false">H50*(1+I50)</f>
        <v>78.65</v>
      </c>
      <c r="K50" s="9" t="n">
        <v>3</v>
      </c>
      <c r="L50" s="9" t="n">
        <v>5</v>
      </c>
      <c r="M50" s="5" t="s">
        <v>23</v>
      </c>
      <c r="N50" s="6"/>
    </row>
    <row r="51" customFormat="false" ht="19.5" hidden="false" customHeight="true" outlineLevel="0" collapsed="false">
      <c r="A51" s="10" t="s">
        <v>238</v>
      </c>
      <c r="B51" s="11" t="s">
        <v>239</v>
      </c>
      <c r="C51" s="10" t="s">
        <v>50</v>
      </c>
      <c r="D51" s="10" t="s">
        <v>224</v>
      </c>
      <c r="E51" s="10" t="s">
        <v>224</v>
      </c>
      <c r="F51" s="10" t="s">
        <v>240</v>
      </c>
      <c r="G51" s="10" t="s">
        <v>237</v>
      </c>
      <c r="H51" s="16" t="n">
        <v>75</v>
      </c>
      <c r="I51" s="13" t="n">
        <v>0.21</v>
      </c>
      <c r="J51" s="16" t="n">
        <f aca="false">H51*(1+I51)</f>
        <v>90.75</v>
      </c>
      <c r="K51" s="14" t="n">
        <v>3</v>
      </c>
      <c r="L51" s="14" t="n">
        <v>5</v>
      </c>
      <c r="M51" s="10" t="s">
        <v>23</v>
      </c>
      <c r="N51" s="11"/>
    </row>
    <row r="52" customFormat="false" ht="19.5" hidden="false" customHeight="true" outlineLevel="0" collapsed="false">
      <c r="A52" s="5" t="s">
        <v>241</v>
      </c>
      <c r="B52" s="6" t="s">
        <v>242</v>
      </c>
      <c r="C52" s="5" t="s">
        <v>243</v>
      </c>
      <c r="D52" s="5" t="s">
        <v>224</v>
      </c>
      <c r="E52" s="5" t="s">
        <v>224</v>
      </c>
      <c r="F52" s="5" t="s">
        <v>244</v>
      </c>
      <c r="G52" s="5" t="s">
        <v>195</v>
      </c>
      <c r="H52" s="15" t="n">
        <v>14</v>
      </c>
      <c r="I52" s="8" t="n">
        <v>0.21</v>
      </c>
      <c r="J52" s="15" t="n">
        <f aca="false">H52*(1+I52)</f>
        <v>16.94</v>
      </c>
      <c r="K52" s="9" t="n">
        <v>2</v>
      </c>
      <c r="L52" s="9" t="n">
        <v>3</v>
      </c>
      <c r="M52" s="5" t="s">
        <v>23</v>
      </c>
      <c r="N52" s="6"/>
    </row>
    <row r="53" customFormat="false" ht="19.5" hidden="false" customHeight="true" outlineLevel="0" collapsed="false">
      <c r="A53" s="10" t="s">
        <v>245</v>
      </c>
      <c r="B53" s="11" t="s">
        <v>246</v>
      </c>
      <c r="C53" s="10" t="s">
        <v>50</v>
      </c>
      <c r="D53" s="10" t="s">
        <v>224</v>
      </c>
      <c r="E53" s="10" t="s">
        <v>224</v>
      </c>
      <c r="F53" s="10" t="s">
        <v>247</v>
      </c>
      <c r="G53" s="10" t="s">
        <v>248</v>
      </c>
      <c r="H53" s="16" t="n">
        <v>16.97</v>
      </c>
      <c r="I53" s="13" t="n">
        <v>0.21</v>
      </c>
      <c r="J53" s="16" t="n">
        <f aca="false">H53*(1+I53)</f>
        <v>20.5337</v>
      </c>
      <c r="K53" s="14" t="n">
        <v>3</v>
      </c>
      <c r="L53" s="14" t="n">
        <v>5</v>
      </c>
      <c r="M53" s="10" t="s">
        <v>23</v>
      </c>
      <c r="N53" s="11"/>
    </row>
    <row r="54" customFormat="false" ht="19.5" hidden="false" customHeight="true" outlineLevel="0" collapsed="false">
      <c r="A54" s="5" t="s">
        <v>249</v>
      </c>
      <c r="B54" s="6" t="s">
        <v>250</v>
      </c>
      <c r="C54" s="5" t="s">
        <v>243</v>
      </c>
      <c r="D54" s="5" t="s">
        <v>224</v>
      </c>
      <c r="E54" s="5" t="s">
        <v>224</v>
      </c>
      <c r="F54" s="5" t="s">
        <v>251</v>
      </c>
      <c r="G54" s="5" t="s">
        <v>195</v>
      </c>
      <c r="H54" s="15" t="n">
        <v>67</v>
      </c>
      <c r="I54" s="8" t="n">
        <v>0.21</v>
      </c>
      <c r="J54" s="15" t="n">
        <f aca="false">H54*(1+I54)</f>
        <v>81.07</v>
      </c>
      <c r="K54" s="9" t="n">
        <v>2</v>
      </c>
      <c r="L54" s="9" t="n">
        <v>3</v>
      </c>
      <c r="M54" s="5" t="s">
        <v>23</v>
      </c>
      <c r="N54" s="6"/>
    </row>
    <row r="55" customFormat="false" ht="19.5" hidden="false" customHeight="true" outlineLevel="0" collapsed="false">
      <c r="A55" s="10" t="s">
        <v>252</v>
      </c>
      <c r="B55" s="11" t="s">
        <v>253</v>
      </c>
      <c r="C55" s="10" t="s">
        <v>243</v>
      </c>
      <c r="D55" s="10" t="s">
        <v>224</v>
      </c>
      <c r="E55" s="10" t="s">
        <v>224</v>
      </c>
      <c r="F55" s="10" t="s">
        <v>254</v>
      </c>
      <c r="G55" s="10" t="s">
        <v>195</v>
      </c>
      <c r="H55" s="16" t="n">
        <v>53</v>
      </c>
      <c r="I55" s="13" t="n">
        <v>0.21</v>
      </c>
      <c r="J55" s="16" t="n">
        <f aca="false">H55*(1+I55)</f>
        <v>64.13</v>
      </c>
      <c r="K55" s="14" t="n">
        <v>2</v>
      </c>
      <c r="L55" s="14" t="n">
        <v>3</v>
      </c>
      <c r="M55" s="10" t="s">
        <v>23</v>
      </c>
      <c r="N55" s="11"/>
    </row>
    <row r="56" customFormat="false" ht="19.5" hidden="false" customHeight="true" outlineLevel="0" collapsed="false">
      <c r="A56" s="5" t="s">
        <v>255</v>
      </c>
      <c r="B56" s="6" t="s">
        <v>256</v>
      </c>
      <c r="C56" s="5" t="s">
        <v>243</v>
      </c>
      <c r="D56" s="5" t="s">
        <v>224</v>
      </c>
      <c r="E56" s="5" t="s">
        <v>224</v>
      </c>
      <c r="F56" s="5" t="s">
        <v>257</v>
      </c>
      <c r="G56" s="5" t="s">
        <v>195</v>
      </c>
      <c r="H56" s="15" t="n">
        <v>53</v>
      </c>
      <c r="I56" s="8" t="n">
        <v>0.21</v>
      </c>
      <c r="J56" s="15" t="n">
        <f aca="false">H56*(1+I56)</f>
        <v>64.13</v>
      </c>
      <c r="K56" s="9" t="n">
        <v>2</v>
      </c>
      <c r="L56" s="9" t="n">
        <v>3</v>
      </c>
      <c r="M56" s="5" t="s">
        <v>23</v>
      </c>
      <c r="N56" s="6"/>
    </row>
    <row r="57" customFormat="false" ht="19.5" hidden="false" customHeight="true" outlineLevel="0" collapsed="false">
      <c r="A57" s="10" t="s">
        <v>258</v>
      </c>
      <c r="B57" s="11" t="s">
        <v>259</v>
      </c>
      <c r="C57" s="10" t="s">
        <v>260</v>
      </c>
      <c r="D57" s="10" t="s">
        <v>224</v>
      </c>
      <c r="E57" s="10" t="s">
        <v>224</v>
      </c>
      <c r="F57" s="10" t="s">
        <v>261</v>
      </c>
      <c r="G57" s="10" t="s">
        <v>143</v>
      </c>
      <c r="H57" s="16" t="n">
        <v>1425</v>
      </c>
      <c r="I57" s="13" t="n">
        <v>0.21</v>
      </c>
      <c r="J57" s="16" t="n">
        <f aca="false">H57*(1+I57)</f>
        <v>1724.25</v>
      </c>
      <c r="K57" s="14" t="n">
        <v>1</v>
      </c>
      <c r="L57" s="14" t="n">
        <v>1</v>
      </c>
      <c r="M57" s="10" t="s">
        <v>23</v>
      </c>
      <c r="N57" s="11"/>
    </row>
    <row r="58" customFormat="false" ht="19.5" hidden="false" customHeight="true" outlineLevel="0" collapsed="false">
      <c r="A58" s="5" t="s">
        <v>262</v>
      </c>
      <c r="B58" s="6" t="s">
        <v>263</v>
      </c>
      <c r="C58" s="5" t="s">
        <v>50</v>
      </c>
      <c r="D58" s="5" t="s">
        <v>224</v>
      </c>
      <c r="E58" s="5" t="s">
        <v>224</v>
      </c>
      <c r="F58" s="5" t="s">
        <v>264</v>
      </c>
      <c r="G58" s="5" t="s">
        <v>143</v>
      </c>
      <c r="H58" s="15" t="n">
        <v>18.06</v>
      </c>
      <c r="I58" s="8" t="n">
        <v>0.21</v>
      </c>
      <c r="J58" s="15" t="n">
        <f aca="false">H58*(1+I58)</f>
        <v>21.8526</v>
      </c>
      <c r="K58" s="9" t="n">
        <v>3</v>
      </c>
      <c r="L58" s="9" t="n">
        <v>5</v>
      </c>
      <c r="M58" s="5" t="s">
        <v>23</v>
      </c>
      <c r="N58" s="6"/>
    </row>
    <row r="59" customFormat="false" ht="19.5" hidden="false" customHeight="true" outlineLevel="0" collapsed="false">
      <c r="A59" s="10" t="s">
        <v>265</v>
      </c>
      <c r="B59" s="11" t="s">
        <v>266</v>
      </c>
      <c r="C59" s="10" t="s">
        <v>50</v>
      </c>
      <c r="D59" s="10" t="s">
        <v>224</v>
      </c>
      <c r="E59" s="10" t="s">
        <v>224</v>
      </c>
      <c r="F59" s="10" t="s">
        <v>267</v>
      </c>
      <c r="G59" s="10" t="s">
        <v>143</v>
      </c>
      <c r="H59" s="16" t="n">
        <v>8.34</v>
      </c>
      <c r="I59" s="13" t="n">
        <v>0.21</v>
      </c>
      <c r="J59" s="16" t="n">
        <f aca="false">H59*(1+I59)</f>
        <v>10.0914</v>
      </c>
      <c r="K59" s="14" t="n">
        <v>3</v>
      </c>
      <c r="L59" s="14" t="n">
        <v>5</v>
      </c>
      <c r="M59" s="10" t="s">
        <v>23</v>
      </c>
      <c r="N59" s="11"/>
    </row>
    <row r="60" customFormat="false" ht="19.5" hidden="false" customHeight="true" outlineLevel="0" collapsed="false">
      <c r="A60" s="5" t="s">
        <v>268</v>
      </c>
      <c r="B60" s="6" t="s">
        <v>269</v>
      </c>
      <c r="C60" s="5" t="s">
        <v>50</v>
      </c>
      <c r="D60" s="5" t="s">
        <v>224</v>
      </c>
      <c r="E60" s="5" t="s">
        <v>224</v>
      </c>
      <c r="F60" s="5" t="s">
        <v>270</v>
      </c>
      <c r="G60" s="5" t="s">
        <v>143</v>
      </c>
      <c r="H60" s="15" t="n">
        <v>24</v>
      </c>
      <c r="I60" s="8" t="n">
        <v>0.21</v>
      </c>
      <c r="J60" s="15" t="n">
        <f aca="false">H60*(1+I60)</f>
        <v>29.04</v>
      </c>
      <c r="K60" s="9" t="n">
        <v>3</v>
      </c>
      <c r="L60" s="9" t="n">
        <v>5</v>
      </c>
      <c r="M60" s="5" t="s">
        <v>23</v>
      </c>
      <c r="N60" s="6"/>
    </row>
    <row r="61" customFormat="false" ht="19.5" hidden="false" customHeight="true" outlineLevel="0" collapsed="false">
      <c r="A61" s="10" t="s">
        <v>271</v>
      </c>
      <c r="B61" s="11" t="s">
        <v>272</v>
      </c>
      <c r="C61" s="10" t="s">
        <v>94</v>
      </c>
      <c r="D61" s="10" t="s">
        <v>224</v>
      </c>
      <c r="E61" s="10" t="s">
        <v>224</v>
      </c>
      <c r="F61" s="10" t="s">
        <v>273</v>
      </c>
      <c r="G61" s="10" t="s">
        <v>199</v>
      </c>
      <c r="H61" s="16" t="n">
        <v>27.38</v>
      </c>
      <c r="I61" s="13" t="n">
        <v>0.21</v>
      </c>
      <c r="J61" s="16" t="n">
        <f aca="false">H61*(1+I61)</f>
        <v>33.1298</v>
      </c>
      <c r="K61" s="14" t="n">
        <v>2</v>
      </c>
      <c r="L61" s="14" t="n">
        <v>3</v>
      </c>
      <c r="M61" s="10" t="s">
        <v>23</v>
      </c>
      <c r="N61" s="11"/>
    </row>
    <row r="62" customFormat="false" ht="19.5" hidden="false" customHeight="true" outlineLevel="0" collapsed="false">
      <c r="A62" s="5" t="s">
        <v>274</v>
      </c>
      <c r="B62" s="6" t="s">
        <v>275</v>
      </c>
      <c r="C62" s="5" t="s">
        <v>94</v>
      </c>
      <c r="D62" s="5" t="s">
        <v>224</v>
      </c>
      <c r="E62" s="5" t="s">
        <v>224</v>
      </c>
      <c r="F62" s="5" t="s">
        <v>276</v>
      </c>
      <c r="G62" s="5" t="s">
        <v>143</v>
      </c>
      <c r="H62" s="15" t="n">
        <v>91.5</v>
      </c>
      <c r="I62" s="8" t="n">
        <v>0.21</v>
      </c>
      <c r="J62" s="15" t="n">
        <f aca="false">H62*(1+I62)</f>
        <v>110.715</v>
      </c>
      <c r="K62" s="9" t="n">
        <v>2</v>
      </c>
      <c r="L62" s="9" t="n">
        <v>3</v>
      </c>
      <c r="M62" s="5" t="s">
        <v>23</v>
      </c>
      <c r="N62" s="6"/>
    </row>
    <row r="63" customFormat="false" ht="19.5" hidden="false" customHeight="true" outlineLevel="0" collapsed="false">
      <c r="A63" s="10" t="s">
        <v>277</v>
      </c>
      <c r="B63" s="11" t="s">
        <v>278</v>
      </c>
      <c r="C63" s="10" t="s">
        <v>94</v>
      </c>
      <c r="D63" s="10" t="s">
        <v>224</v>
      </c>
      <c r="E63" s="10" t="s">
        <v>224</v>
      </c>
      <c r="F63" s="10" t="s">
        <v>279</v>
      </c>
      <c r="G63" s="10" t="s">
        <v>214</v>
      </c>
      <c r="H63" s="16" t="n">
        <v>40</v>
      </c>
      <c r="I63" s="13" t="n">
        <v>0.21</v>
      </c>
      <c r="J63" s="16" t="n">
        <f aca="false">H63*(1+I63)</f>
        <v>48.4</v>
      </c>
      <c r="K63" s="14" t="n">
        <v>2</v>
      </c>
      <c r="L63" s="14" t="n">
        <v>3</v>
      </c>
      <c r="M63" s="10" t="s">
        <v>23</v>
      </c>
      <c r="N63" s="11"/>
    </row>
    <row r="64" customFormat="false" ht="19.5" hidden="false" customHeight="true" outlineLevel="0" collapsed="false">
      <c r="A64" s="5" t="s">
        <v>280</v>
      </c>
      <c r="B64" s="6" t="s">
        <v>281</v>
      </c>
      <c r="C64" s="5" t="s">
        <v>76</v>
      </c>
      <c r="D64" s="5" t="s">
        <v>224</v>
      </c>
      <c r="E64" s="5" t="s">
        <v>224</v>
      </c>
      <c r="F64" s="5" t="s">
        <v>282</v>
      </c>
      <c r="G64" s="5" t="s">
        <v>237</v>
      </c>
      <c r="H64" s="15" t="n">
        <v>5.5</v>
      </c>
      <c r="I64" s="8" t="n">
        <v>0.21</v>
      </c>
      <c r="J64" s="15" t="n">
        <f aca="false">H64*(1+I64)</f>
        <v>6.655</v>
      </c>
      <c r="K64" s="9" t="n">
        <v>3</v>
      </c>
      <c r="L64" s="9" t="n">
        <v>5</v>
      </c>
      <c r="M64" s="5" t="s">
        <v>23</v>
      </c>
      <c r="N64" s="6"/>
    </row>
    <row r="65" customFormat="false" ht="19.5" hidden="false" customHeight="true" outlineLevel="0" collapsed="false">
      <c r="A65" s="10" t="s">
        <v>283</v>
      </c>
      <c r="B65" s="11" t="s">
        <v>284</v>
      </c>
      <c r="C65" s="10" t="s">
        <v>76</v>
      </c>
      <c r="D65" s="10" t="s">
        <v>224</v>
      </c>
      <c r="E65" s="10" t="s">
        <v>224</v>
      </c>
      <c r="F65" s="10" t="s">
        <v>285</v>
      </c>
      <c r="G65" s="10" t="s">
        <v>237</v>
      </c>
      <c r="H65" s="16" t="n">
        <v>5.5</v>
      </c>
      <c r="I65" s="13" t="n">
        <v>0.21</v>
      </c>
      <c r="J65" s="16" t="n">
        <f aca="false">H65*(1+I65)</f>
        <v>6.655</v>
      </c>
      <c r="K65" s="14" t="n">
        <v>3</v>
      </c>
      <c r="L65" s="14" t="n">
        <v>5</v>
      </c>
      <c r="M65" s="10" t="s">
        <v>23</v>
      </c>
      <c r="N65" s="11"/>
    </row>
    <row r="66" customFormat="false" ht="19.5" hidden="false" customHeight="true" outlineLevel="0" collapsed="false">
      <c r="A66" s="5" t="s">
        <v>286</v>
      </c>
      <c r="B66" s="6" t="s">
        <v>287</v>
      </c>
      <c r="C66" s="5" t="s">
        <v>76</v>
      </c>
      <c r="D66" s="5" t="s">
        <v>224</v>
      </c>
      <c r="E66" s="5" t="s">
        <v>224</v>
      </c>
      <c r="F66" s="5" t="s">
        <v>288</v>
      </c>
      <c r="G66" s="5" t="s">
        <v>237</v>
      </c>
      <c r="H66" s="15" t="n">
        <v>5.5</v>
      </c>
      <c r="I66" s="8" t="n">
        <v>0.21</v>
      </c>
      <c r="J66" s="15" t="n">
        <f aca="false">H66*(1+I66)</f>
        <v>6.655</v>
      </c>
      <c r="K66" s="9" t="n">
        <v>3</v>
      </c>
      <c r="L66" s="9" t="n">
        <v>5</v>
      </c>
      <c r="M66" s="5" t="s">
        <v>23</v>
      </c>
      <c r="N66" s="6"/>
    </row>
    <row r="67" customFormat="false" ht="19.5" hidden="false" customHeight="true" outlineLevel="0" collapsed="false">
      <c r="A67" s="10" t="s">
        <v>289</v>
      </c>
      <c r="B67" s="11" t="s">
        <v>290</v>
      </c>
      <c r="C67" s="10" t="s">
        <v>291</v>
      </c>
      <c r="D67" s="10" t="s">
        <v>292</v>
      </c>
      <c r="E67" s="10" t="s">
        <v>292</v>
      </c>
      <c r="F67" s="10" t="s">
        <v>293</v>
      </c>
      <c r="G67" s="10" t="s">
        <v>143</v>
      </c>
      <c r="H67" s="16" t="n">
        <v>78.4</v>
      </c>
      <c r="I67" s="13" t="n">
        <v>0.21</v>
      </c>
      <c r="J67" s="16" t="n">
        <f aca="false">H67*(1+I67)</f>
        <v>94.864</v>
      </c>
      <c r="K67" s="14" t="n">
        <v>1</v>
      </c>
      <c r="L67" s="14" t="n">
        <v>2</v>
      </c>
      <c r="M67" s="10" t="s">
        <v>23</v>
      </c>
      <c r="N67" s="11"/>
    </row>
    <row r="68" customFormat="false" ht="19.5" hidden="false" customHeight="true" outlineLevel="0" collapsed="false">
      <c r="A68" s="5" t="s">
        <v>294</v>
      </c>
      <c r="B68" s="6" t="s">
        <v>295</v>
      </c>
      <c r="C68" s="5" t="s">
        <v>291</v>
      </c>
      <c r="D68" s="5" t="s">
        <v>292</v>
      </c>
      <c r="E68" s="5" t="s">
        <v>292</v>
      </c>
      <c r="F68" s="5" t="s">
        <v>296</v>
      </c>
      <c r="G68" s="5" t="s">
        <v>143</v>
      </c>
      <c r="H68" s="15" t="n">
        <v>85.7</v>
      </c>
      <c r="I68" s="8" t="n">
        <v>0.21</v>
      </c>
      <c r="J68" s="15" t="n">
        <f aca="false">H68*(1+I68)</f>
        <v>103.697</v>
      </c>
      <c r="K68" s="9" t="n">
        <v>1</v>
      </c>
      <c r="L68" s="9" t="n">
        <v>2</v>
      </c>
      <c r="M68" s="5" t="s">
        <v>23</v>
      </c>
      <c r="N68" s="6"/>
    </row>
    <row r="69" customFormat="false" ht="19.5" hidden="false" customHeight="true" outlineLevel="0" collapsed="false">
      <c r="A69" s="10" t="s">
        <v>297</v>
      </c>
      <c r="B69" s="11" t="s">
        <v>298</v>
      </c>
      <c r="C69" s="10" t="s">
        <v>291</v>
      </c>
      <c r="D69" s="10" t="s">
        <v>292</v>
      </c>
      <c r="E69" s="10" t="s">
        <v>292</v>
      </c>
      <c r="F69" s="10" t="s">
        <v>299</v>
      </c>
      <c r="G69" s="10" t="s">
        <v>143</v>
      </c>
      <c r="H69" s="16" t="n">
        <v>92</v>
      </c>
      <c r="I69" s="13" t="n">
        <v>0.21</v>
      </c>
      <c r="J69" s="16" t="n">
        <f aca="false">H69*(1+I69)</f>
        <v>111.32</v>
      </c>
      <c r="K69" s="14" t="n">
        <v>1</v>
      </c>
      <c r="L69" s="14" t="n">
        <v>2</v>
      </c>
      <c r="M69" s="10" t="s">
        <v>23</v>
      </c>
      <c r="N69" s="11"/>
    </row>
    <row r="70" customFormat="false" ht="19.5" hidden="false" customHeight="true" outlineLevel="0" collapsed="false">
      <c r="A70" s="5" t="s">
        <v>300</v>
      </c>
      <c r="B70" s="6" t="s">
        <v>301</v>
      </c>
      <c r="C70" s="5" t="s">
        <v>291</v>
      </c>
      <c r="D70" s="5" t="s">
        <v>292</v>
      </c>
      <c r="E70" s="5" t="s">
        <v>292</v>
      </c>
      <c r="F70" s="5" t="s">
        <v>302</v>
      </c>
      <c r="G70" s="5" t="s">
        <v>143</v>
      </c>
      <c r="H70" s="15" t="n">
        <v>101</v>
      </c>
      <c r="I70" s="8" t="n">
        <v>0.21</v>
      </c>
      <c r="J70" s="15" t="n">
        <f aca="false">H70*(1+I70)</f>
        <v>122.21</v>
      </c>
      <c r="K70" s="9" t="n">
        <v>1</v>
      </c>
      <c r="L70" s="9" t="n">
        <v>2</v>
      </c>
      <c r="M70" s="5" t="s">
        <v>23</v>
      </c>
      <c r="N70" s="6"/>
    </row>
    <row r="71" customFormat="false" ht="19.5" hidden="false" customHeight="true" outlineLevel="0" collapsed="false">
      <c r="A71" s="10" t="s">
        <v>303</v>
      </c>
      <c r="B71" s="11" t="s">
        <v>304</v>
      </c>
      <c r="C71" s="10" t="s">
        <v>94</v>
      </c>
      <c r="D71" s="10" t="s">
        <v>305</v>
      </c>
      <c r="E71" s="10" t="s">
        <v>305</v>
      </c>
      <c r="F71" s="10" t="s">
        <v>306</v>
      </c>
      <c r="G71" s="10" t="s">
        <v>307</v>
      </c>
      <c r="H71" s="16" t="n">
        <v>16.28</v>
      </c>
      <c r="I71" s="13" t="n">
        <v>0.21</v>
      </c>
      <c r="J71" s="16" t="n">
        <f aca="false">H71*(1+I71)</f>
        <v>19.6988</v>
      </c>
      <c r="K71" s="14" t="n">
        <v>2</v>
      </c>
      <c r="L71" s="14" t="n">
        <v>3</v>
      </c>
      <c r="M71" s="10" t="s">
        <v>23</v>
      </c>
      <c r="N71" s="11"/>
    </row>
    <row r="72" customFormat="false" ht="19.5" hidden="false" customHeight="true" outlineLevel="0" collapsed="false">
      <c r="A72" s="5" t="s">
        <v>308</v>
      </c>
      <c r="B72" s="6" t="s">
        <v>309</v>
      </c>
      <c r="C72" s="5" t="s">
        <v>94</v>
      </c>
      <c r="D72" s="5" t="s">
        <v>305</v>
      </c>
      <c r="E72" s="5" t="s">
        <v>305</v>
      </c>
      <c r="F72" s="5" t="s">
        <v>310</v>
      </c>
      <c r="G72" s="5" t="s">
        <v>307</v>
      </c>
      <c r="H72" s="15" t="n">
        <v>17.08</v>
      </c>
      <c r="I72" s="8" t="n">
        <v>0.21</v>
      </c>
      <c r="J72" s="15" t="n">
        <f aca="false">H72*(1+I72)</f>
        <v>20.6668</v>
      </c>
      <c r="K72" s="9" t="n">
        <v>2</v>
      </c>
      <c r="L72" s="9" t="n">
        <v>3</v>
      </c>
      <c r="M72" s="5" t="s">
        <v>23</v>
      </c>
      <c r="N72" s="6"/>
    </row>
    <row r="73" customFormat="false" ht="19.5" hidden="false" customHeight="true" outlineLevel="0" collapsed="false">
      <c r="A73" s="10" t="s">
        <v>311</v>
      </c>
      <c r="B73" s="11" t="s">
        <v>312</v>
      </c>
      <c r="C73" s="10" t="s">
        <v>94</v>
      </c>
      <c r="D73" s="10" t="s">
        <v>305</v>
      </c>
      <c r="E73" s="10" t="s">
        <v>305</v>
      </c>
      <c r="F73" s="10" t="s">
        <v>313</v>
      </c>
      <c r="G73" s="10" t="s">
        <v>307</v>
      </c>
      <c r="H73" s="16" t="n">
        <v>16.6</v>
      </c>
      <c r="I73" s="13" t="n">
        <v>0.21</v>
      </c>
      <c r="J73" s="16" t="n">
        <f aca="false">H73*(1+I73)</f>
        <v>20.086</v>
      </c>
      <c r="K73" s="14" t="n">
        <v>2</v>
      </c>
      <c r="L73" s="14" t="n">
        <v>3</v>
      </c>
      <c r="M73" s="10" t="s">
        <v>23</v>
      </c>
      <c r="N73" s="11"/>
    </row>
    <row r="74" customFormat="false" ht="19.5" hidden="false" customHeight="true" outlineLevel="0" collapsed="false">
      <c r="A74" s="5" t="s">
        <v>314</v>
      </c>
      <c r="B74" s="6" t="s">
        <v>315</v>
      </c>
      <c r="C74" s="5" t="s">
        <v>243</v>
      </c>
      <c r="D74" s="5" t="s">
        <v>305</v>
      </c>
      <c r="E74" s="5" t="s">
        <v>305</v>
      </c>
      <c r="F74" s="5" t="s">
        <v>316</v>
      </c>
      <c r="G74" s="5" t="s">
        <v>317</v>
      </c>
      <c r="H74" s="15" t="n">
        <v>107</v>
      </c>
      <c r="I74" s="8" t="n">
        <v>0.21</v>
      </c>
      <c r="J74" s="15" t="n">
        <f aca="false">H74*(1+I74)</f>
        <v>129.47</v>
      </c>
      <c r="K74" s="9" t="n">
        <v>2</v>
      </c>
      <c r="L74" s="9" t="n">
        <v>3</v>
      </c>
      <c r="M74" s="5" t="s">
        <v>23</v>
      </c>
      <c r="N74" s="6"/>
    </row>
    <row r="75" customFormat="false" ht="19.5" hidden="false" customHeight="true" outlineLevel="0" collapsed="false">
      <c r="A75" s="10" t="s">
        <v>318</v>
      </c>
      <c r="B75" s="11" t="s">
        <v>319</v>
      </c>
      <c r="C75" s="10" t="s">
        <v>243</v>
      </c>
      <c r="D75" s="10" t="s">
        <v>305</v>
      </c>
      <c r="E75" s="10" t="s">
        <v>305</v>
      </c>
      <c r="F75" s="10" t="s">
        <v>320</v>
      </c>
      <c r="G75" s="10" t="s">
        <v>317</v>
      </c>
      <c r="H75" s="16" t="n">
        <v>99.2</v>
      </c>
      <c r="I75" s="13" t="n">
        <v>0.21</v>
      </c>
      <c r="J75" s="16" t="n">
        <f aca="false">H75*(1+I75)</f>
        <v>120.032</v>
      </c>
      <c r="K75" s="14" t="n">
        <v>2</v>
      </c>
      <c r="L75" s="14" t="n">
        <v>3</v>
      </c>
      <c r="M75" s="10" t="s">
        <v>23</v>
      </c>
      <c r="N75" s="11"/>
    </row>
    <row r="76" customFormat="false" ht="19.5" hidden="false" customHeight="true" outlineLevel="0" collapsed="false">
      <c r="A76" s="5" t="s">
        <v>321</v>
      </c>
      <c r="B76" s="6" t="s">
        <v>322</v>
      </c>
      <c r="C76" s="5" t="s">
        <v>323</v>
      </c>
      <c r="D76" s="5" t="s">
        <v>305</v>
      </c>
      <c r="E76" s="5" t="s">
        <v>305</v>
      </c>
      <c r="F76" s="5" t="s">
        <v>324</v>
      </c>
      <c r="G76" s="5" t="s">
        <v>325</v>
      </c>
      <c r="H76" s="15" t="n">
        <v>55.2</v>
      </c>
      <c r="I76" s="8" t="n">
        <v>0.21</v>
      </c>
      <c r="J76" s="15" t="n">
        <f aca="false">H76*(1+I76)</f>
        <v>66.792</v>
      </c>
      <c r="K76" s="9" t="n">
        <v>2</v>
      </c>
      <c r="L76" s="9" t="n">
        <v>3</v>
      </c>
      <c r="M76" s="5" t="s">
        <v>23</v>
      </c>
      <c r="N76" s="6"/>
    </row>
    <row r="77" customFormat="false" ht="19.5" hidden="false" customHeight="true" outlineLevel="0" collapsed="false">
      <c r="A77" s="10" t="s">
        <v>326</v>
      </c>
      <c r="B77" s="11" t="s">
        <v>327</v>
      </c>
      <c r="C77" s="10" t="s">
        <v>18</v>
      </c>
      <c r="D77" s="10" t="s">
        <v>328</v>
      </c>
      <c r="E77" s="10" t="s">
        <v>328</v>
      </c>
      <c r="F77" s="10" t="s">
        <v>329</v>
      </c>
      <c r="G77" s="10" t="s">
        <v>179</v>
      </c>
      <c r="H77" s="16" t="n">
        <v>8.6</v>
      </c>
      <c r="I77" s="13" t="n">
        <v>0.21</v>
      </c>
      <c r="J77" s="16" t="n">
        <f aca="false">H77*(1+I77)</f>
        <v>10.406</v>
      </c>
      <c r="K77" s="14" t="n">
        <v>3</v>
      </c>
      <c r="L77" s="14" t="n">
        <v>5</v>
      </c>
      <c r="M77" s="10" t="s">
        <v>23</v>
      </c>
      <c r="N77" s="11"/>
    </row>
    <row r="78" customFormat="false" ht="19.5" hidden="false" customHeight="true" outlineLevel="0" collapsed="false">
      <c r="A78" s="5" t="s">
        <v>330</v>
      </c>
      <c r="B78" s="6" t="s">
        <v>331</v>
      </c>
      <c r="C78" s="5" t="s">
        <v>18</v>
      </c>
      <c r="D78" s="5" t="s">
        <v>328</v>
      </c>
      <c r="E78" s="5" t="s">
        <v>328</v>
      </c>
      <c r="F78" s="5" t="s">
        <v>332</v>
      </c>
      <c r="G78" s="5" t="s">
        <v>179</v>
      </c>
      <c r="H78" s="15" t="n">
        <v>8.6</v>
      </c>
      <c r="I78" s="8" t="n">
        <v>0.21</v>
      </c>
      <c r="J78" s="15" t="n">
        <f aca="false">H78*(1+I78)</f>
        <v>10.406</v>
      </c>
      <c r="K78" s="9" t="n">
        <v>3</v>
      </c>
      <c r="L78" s="9" t="n">
        <v>5</v>
      </c>
      <c r="M78" s="5" t="s">
        <v>23</v>
      </c>
      <c r="N78" s="6"/>
    </row>
    <row r="79" customFormat="false" ht="19.5" hidden="false" customHeight="true" outlineLevel="0" collapsed="false">
      <c r="A79" s="10" t="s">
        <v>333</v>
      </c>
      <c r="B79" s="11" t="s">
        <v>334</v>
      </c>
      <c r="C79" s="10" t="s">
        <v>50</v>
      </c>
      <c r="D79" s="10" t="s">
        <v>328</v>
      </c>
      <c r="E79" s="10" t="s">
        <v>328</v>
      </c>
      <c r="F79" s="10" t="s">
        <v>335</v>
      </c>
      <c r="G79" s="10" t="s">
        <v>179</v>
      </c>
      <c r="H79" s="16" t="n">
        <v>4.66</v>
      </c>
      <c r="I79" s="13" t="n">
        <v>0.21</v>
      </c>
      <c r="J79" s="16" t="n">
        <f aca="false">H79*(1+I79)</f>
        <v>5.6386</v>
      </c>
      <c r="K79" s="14" t="n">
        <v>3</v>
      </c>
      <c r="L79" s="14" t="n">
        <v>5</v>
      </c>
      <c r="M79" s="10" t="s">
        <v>23</v>
      </c>
      <c r="N79" s="11"/>
    </row>
    <row r="80" customFormat="false" ht="19.5" hidden="false" customHeight="true" outlineLevel="0" collapsed="false">
      <c r="A80" s="5" t="s">
        <v>336</v>
      </c>
      <c r="B80" s="6" t="s">
        <v>337</v>
      </c>
      <c r="C80" s="5" t="s">
        <v>18</v>
      </c>
      <c r="D80" s="5" t="s">
        <v>328</v>
      </c>
      <c r="E80" s="5" t="s">
        <v>328</v>
      </c>
      <c r="F80" s="5" t="s">
        <v>338</v>
      </c>
      <c r="G80" s="5" t="s">
        <v>179</v>
      </c>
      <c r="H80" s="15" t="n">
        <v>4.36</v>
      </c>
      <c r="I80" s="8" t="n">
        <v>0.21</v>
      </c>
      <c r="J80" s="15" t="n">
        <f aca="false">H80*(1+I80)</f>
        <v>5.2756</v>
      </c>
      <c r="K80" s="9" t="n">
        <v>3</v>
      </c>
      <c r="L80" s="9" t="n">
        <v>5</v>
      </c>
      <c r="M80" s="5" t="s">
        <v>23</v>
      </c>
      <c r="N80" s="6"/>
    </row>
    <row r="81" customFormat="false" ht="19.5" hidden="false" customHeight="true" outlineLevel="0" collapsed="false">
      <c r="A81" s="10" t="s">
        <v>339</v>
      </c>
      <c r="B81" s="11" t="s">
        <v>340</v>
      </c>
      <c r="C81" s="10" t="s">
        <v>50</v>
      </c>
      <c r="D81" s="10" t="s">
        <v>328</v>
      </c>
      <c r="E81" s="10" t="s">
        <v>328</v>
      </c>
      <c r="F81" s="10" t="s">
        <v>341</v>
      </c>
      <c r="G81" s="10" t="s">
        <v>179</v>
      </c>
      <c r="H81" s="16" t="n">
        <v>4.94</v>
      </c>
      <c r="I81" s="13" t="n">
        <v>0.21</v>
      </c>
      <c r="J81" s="16" t="n">
        <f aca="false">H81*(1+I81)</f>
        <v>5.9774</v>
      </c>
      <c r="K81" s="14" t="n">
        <v>3</v>
      </c>
      <c r="L81" s="14" t="n">
        <v>5</v>
      </c>
      <c r="M81" s="10" t="s">
        <v>23</v>
      </c>
      <c r="N81" s="11"/>
    </row>
    <row r="82" customFormat="false" ht="19.5" hidden="false" customHeight="true" outlineLevel="0" collapsed="false">
      <c r="A82" s="5" t="s">
        <v>342</v>
      </c>
      <c r="B82" s="6" t="s">
        <v>343</v>
      </c>
      <c r="C82" s="5" t="s">
        <v>122</v>
      </c>
      <c r="D82" s="5" t="s">
        <v>328</v>
      </c>
      <c r="E82" s="5" t="s">
        <v>328</v>
      </c>
      <c r="F82" s="5" t="s">
        <v>344</v>
      </c>
      <c r="G82" s="5" t="s">
        <v>210</v>
      </c>
      <c r="H82" s="15" t="n">
        <v>175</v>
      </c>
      <c r="I82" s="8" t="n">
        <v>0.21</v>
      </c>
      <c r="J82" s="15" t="n">
        <f aca="false">H82*(1+I82)</f>
        <v>211.75</v>
      </c>
      <c r="K82" s="9" t="n">
        <v>1</v>
      </c>
      <c r="L82" s="9" t="n">
        <v>2</v>
      </c>
      <c r="M82" s="5" t="s">
        <v>23</v>
      </c>
      <c r="N82" s="6"/>
    </row>
    <row r="83" customFormat="false" ht="19.5" hidden="false" customHeight="true" outlineLevel="0" collapsed="false">
      <c r="A83" s="10" t="s">
        <v>345</v>
      </c>
      <c r="B83" s="11" t="s">
        <v>346</v>
      </c>
      <c r="C83" s="10" t="s">
        <v>122</v>
      </c>
      <c r="D83" s="10" t="s">
        <v>328</v>
      </c>
      <c r="E83" s="10" t="s">
        <v>328</v>
      </c>
      <c r="F83" s="10" t="s">
        <v>347</v>
      </c>
      <c r="G83" s="10" t="s">
        <v>317</v>
      </c>
      <c r="H83" s="16" t="n">
        <v>197</v>
      </c>
      <c r="I83" s="13" t="n">
        <v>0.21</v>
      </c>
      <c r="J83" s="16" t="n">
        <f aca="false">H83*(1+I83)</f>
        <v>238.37</v>
      </c>
      <c r="K83" s="14" t="n">
        <v>1</v>
      </c>
      <c r="L83" s="14" t="n">
        <v>2</v>
      </c>
      <c r="M83" s="10" t="s">
        <v>23</v>
      </c>
      <c r="N83" s="11"/>
    </row>
    <row r="84" customFormat="false" ht="19.5" hidden="false" customHeight="true" outlineLevel="0" collapsed="false">
      <c r="A84" s="5" t="s">
        <v>348</v>
      </c>
      <c r="B84" s="6" t="s">
        <v>349</v>
      </c>
      <c r="C84" s="5" t="s">
        <v>122</v>
      </c>
      <c r="D84" s="5" t="s">
        <v>328</v>
      </c>
      <c r="E84" s="5" t="s">
        <v>328</v>
      </c>
      <c r="F84" s="5" t="s">
        <v>350</v>
      </c>
      <c r="G84" s="5" t="s">
        <v>317</v>
      </c>
      <c r="H84" s="15" t="n">
        <v>87</v>
      </c>
      <c r="I84" s="8" t="n">
        <v>0.21</v>
      </c>
      <c r="J84" s="15" t="n">
        <f aca="false">H84*(1+I84)</f>
        <v>105.27</v>
      </c>
      <c r="K84" s="9" t="n">
        <v>1</v>
      </c>
      <c r="L84" s="9" t="n">
        <v>2</v>
      </c>
      <c r="M84" s="5" t="s">
        <v>23</v>
      </c>
      <c r="N84" s="6"/>
    </row>
    <row r="85" customFormat="false" ht="19.5" hidden="false" customHeight="true" outlineLevel="0" collapsed="false">
      <c r="A85" s="10" t="s">
        <v>351</v>
      </c>
      <c r="B85" s="11" t="s">
        <v>352</v>
      </c>
      <c r="C85" s="10" t="s">
        <v>122</v>
      </c>
      <c r="D85" s="10" t="s">
        <v>328</v>
      </c>
      <c r="E85" s="10" t="s">
        <v>328</v>
      </c>
      <c r="F85" s="10" t="s">
        <v>353</v>
      </c>
      <c r="G85" s="10" t="s">
        <v>143</v>
      </c>
      <c r="H85" s="16" t="n">
        <v>56</v>
      </c>
      <c r="I85" s="13" t="n">
        <v>0.21</v>
      </c>
      <c r="J85" s="16" t="n">
        <f aca="false">H85*(1+I85)</f>
        <v>67.76</v>
      </c>
      <c r="K85" s="14" t="n">
        <v>1</v>
      </c>
      <c r="L85" s="14" t="n">
        <v>2</v>
      </c>
      <c r="M85" s="10" t="s">
        <v>23</v>
      </c>
      <c r="N85" s="11"/>
    </row>
    <row r="86" customFormat="false" ht="19.5" hidden="false" customHeight="true" outlineLevel="0" collapsed="false">
      <c r="A86" s="5" t="s">
        <v>354</v>
      </c>
      <c r="B86" s="6" t="s">
        <v>355</v>
      </c>
      <c r="C86" s="5" t="s">
        <v>217</v>
      </c>
      <c r="D86" s="5" t="s">
        <v>356</v>
      </c>
      <c r="E86" s="5" t="s">
        <v>356</v>
      </c>
      <c r="F86" s="5" t="s">
        <v>357</v>
      </c>
      <c r="G86" s="5" t="s">
        <v>143</v>
      </c>
      <c r="H86" s="15" t="n">
        <v>195</v>
      </c>
      <c r="I86" s="8" t="n">
        <v>0.21</v>
      </c>
      <c r="J86" s="15" t="n">
        <f aca="false">H86*(1+I86)</f>
        <v>235.95</v>
      </c>
      <c r="K86" s="9" t="n">
        <v>1</v>
      </c>
      <c r="L86" s="9" t="n">
        <v>1</v>
      </c>
      <c r="M86" s="5" t="s">
        <v>23</v>
      </c>
      <c r="N86" s="6"/>
    </row>
    <row r="87" customFormat="false" ht="19.5" hidden="false" customHeight="true" outlineLevel="0" collapsed="false">
      <c r="A87" s="10" t="s">
        <v>358</v>
      </c>
      <c r="B87" s="11" t="s">
        <v>359</v>
      </c>
      <c r="C87" s="10" t="s">
        <v>217</v>
      </c>
      <c r="D87" s="10" t="s">
        <v>356</v>
      </c>
      <c r="E87" s="10" t="s">
        <v>356</v>
      </c>
      <c r="F87" s="10" t="s">
        <v>360</v>
      </c>
      <c r="G87" s="10" t="s">
        <v>143</v>
      </c>
      <c r="H87" s="16" t="n">
        <v>13</v>
      </c>
      <c r="I87" s="13" t="n">
        <v>0.21</v>
      </c>
      <c r="J87" s="16" t="n">
        <f aca="false">H87*(1+I87)</f>
        <v>15.73</v>
      </c>
      <c r="K87" s="14" t="n">
        <v>1</v>
      </c>
      <c r="L87" s="14" t="n">
        <v>1</v>
      </c>
      <c r="M87" s="10" t="s">
        <v>23</v>
      </c>
      <c r="N87" s="11"/>
    </row>
    <row r="88" customFormat="false" ht="19.5" hidden="false" customHeight="true" outlineLevel="0" collapsed="false">
      <c r="A88" s="5" t="s">
        <v>361</v>
      </c>
      <c r="B88" s="6" t="s">
        <v>362</v>
      </c>
      <c r="C88" s="5" t="s">
        <v>260</v>
      </c>
      <c r="D88" s="5" t="s">
        <v>363</v>
      </c>
      <c r="E88" s="5" t="s">
        <v>363</v>
      </c>
      <c r="F88" s="5" t="s">
        <v>364</v>
      </c>
      <c r="G88" s="5" t="s">
        <v>143</v>
      </c>
      <c r="H88" s="15" t="n">
        <v>155.46</v>
      </c>
      <c r="I88" s="8" t="n">
        <v>0.21</v>
      </c>
      <c r="J88" s="15" t="n">
        <f aca="false">H88*(1+I88)</f>
        <v>188.1066</v>
      </c>
      <c r="K88" s="9" t="n">
        <v>1</v>
      </c>
      <c r="L88" s="9" t="n">
        <v>1</v>
      </c>
      <c r="M88" s="5" t="s">
        <v>23</v>
      </c>
      <c r="N88" s="6"/>
    </row>
    <row r="89" customFormat="false" ht="19.5" hidden="false" customHeight="true" outlineLevel="0" collapsed="false">
      <c r="A89" s="10" t="s">
        <v>365</v>
      </c>
      <c r="B89" s="11" t="s">
        <v>366</v>
      </c>
      <c r="C89" s="10" t="s">
        <v>367</v>
      </c>
      <c r="D89" s="10" t="s">
        <v>368</v>
      </c>
      <c r="E89" s="10" t="s">
        <v>368</v>
      </c>
      <c r="F89" s="10" t="s">
        <v>369</v>
      </c>
      <c r="G89" s="10" t="s">
        <v>143</v>
      </c>
      <c r="H89" s="16" t="n">
        <v>3.69</v>
      </c>
      <c r="I89" s="13" t="n">
        <v>0.21</v>
      </c>
      <c r="J89" s="16" t="n">
        <f aca="false">H89*(1+I89)</f>
        <v>4.4649</v>
      </c>
      <c r="K89" s="14" t="n">
        <v>2</v>
      </c>
      <c r="L89" s="14" t="n">
        <v>3</v>
      </c>
      <c r="M89" s="10" t="s">
        <v>23</v>
      </c>
      <c r="N89" s="11"/>
    </row>
  </sheetData>
  <mergeCells count="2">
    <mergeCell ref="A1:N1"/>
    <mergeCell ref="A2:N2"/>
  </mergeCells>
  <conditionalFormatting sqref="A4:N33">
    <cfRule type="expression" priority="2" aboveAverage="0" equalAverage="0" bottom="0" percent="0" rank="0" text="" dxfId="0">
      <formula>$M4="N"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88A0"/>
    <pageSetUpPr fitToPage="false"/>
  </sheetPr>
  <dimension ref="A1:J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30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5" min="5" style="1" width="16"/>
    <col collapsed="false" customWidth="true" hidden="false" outlineLevel="0" max="6" min="6" style="1" width="28"/>
    <col collapsed="false" customWidth="true" hidden="false" outlineLevel="0" max="7" min="7" style="1" width="2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30"/>
  </cols>
  <sheetData>
    <row r="1" customFormat="false" ht="39.75" hidden="false" customHeight="true" outlineLevel="0" collapsed="false">
      <c r="A1" s="2" t="s">
        <v>370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34.5" hidden="false" customHeight="true" outlineLevel="0" collapsed="false">
      <c r="A2" s="3" t="s">
        <v>371</v>
      </c>
      <c r="B2" s="3"/>
      <c r="C2" s="3"/>
      <c r="D2" s="3"/>
      <c r="E2" s="3"/>
      <c r="F2" s="3"/>
      <c r="G2" s="3"/>
      <c r="H2" s="3"/>
      <c r="I2" s="3"/>
      <c r="J2" s="3"/>
    </row>
    <row r="3" customFormat="false" ht="37.5" hidden="false" customHeight="true" outlineLevel="0" collapsed="false">
      <c r="A3" s="4" t="s">
        <v>372</v>
      </c>
      <c r="B3" s="4" t="s">
        <v>373</v>
      </c>
      <c r="C3" s="4" t="s">
        <v>374</v>
      </c>
      <c r="D3" s="4" t="s">
        <v>375</v>
      </c>
      <c r="E3" s="4" t="s">
        <v>376</v>
      </c>
      <c r="F3" s="4" t="s">
        <v>377</v>
      </c>
      <c r="G3" s="4" t="s">
        <v>378</v>
      </c>
      <c r="H3" s="4" t="s">
        <v>379</v>
      </c>
      <c r="I3" s="4" t="s">
        <v>380</v>
      </c>
      <c r="J3" s="4" t="s">
        <v>15</v>
      </c>
    </row>
    <row r="4" customFormat="false" ht="19.5" hidden="false" customHeight="true" outlineLevel="0" collapsed="false">
      <c r="A4" s="5" t="s">
        <v>381</v>
      </c>
      <c r="B4" s="6" t="s">
        <v>382</v>
      </c>
      <c r="C4" s="5" t="s">
        <v>383</v>
      </c>
      <c r="D4" s="5" t="s">
        <v>384</v>
      </c>
      <c r="E4" s="5" t="s">
        <v>385</v>
      </c>
      <c r="F4" s="5" t="s">
        <v>386</v>
      </c>
      <c r="G4" s="5" t="s">
        <v>387</v>
      </c>
      <c r="H4" s="5" t="s">
        <v>388</v>
      </c>
      <c r="I4" s="5" t="s">
        <v>389</v>
      </c>
      <c r="J4" s="5" t="s">
        <v>390</v>
      </c>
    </row>
    <row r="5" customFormat="false" ht="19.5" hidden="false" customHeight="true" outlineLevel="0" collapsed="false">
      <c r="A5" s="10" t="s">
        <v>391</v>
      </c>
      <c r="B5" s="11" t="s">
        <v>392</v>
      </c>
      <c r="C5" s="10" t="s">
        <v>393</v>
      </c>
      <c r="D5" s="10" t="s">
        <v>394</v>
      </c>
      <c r="E5" s="10" t="s">
        <v>395</v>
      </c>
      <c r="F5" s="10" t="s">
        <v>396</v>
      </c>
      <c r="G5" s="10" t="s">
        <v>397</v>
      </c>
      <c r="H5" s="10" t="s">
        <v>388</v>
      </c>
      <c r="I5" s="10" t="s">
        <v>398</v>
      </c>
      <c r="J5" s="10" t="s">
        <v>399</v>
      </c>
    </row>
    <row r="6" customFormat="false" ht="19.5" hidden="false" customHeight="true" outlineLevel="0" collapsed="false">
      <c r="A6" s="5" t="s">
        <v>400</v>
      </c>
      <c r="B6" s="6" t="s">
        <v>401</v>
      </c>
      <c r="C6" s="5" t="s">
        <v>402</v>
      </c>
      <c r="D6" s="5" t="s">
        <v>403</v>
      </c>
      <c r="E6" s="5" t="s">
        <v>404</v>
      </c>
      <c r="F6" s="5" t="s">
        <v>405</v>
      </c>
      <c r="G6" s="5" t="s">
        <v>406</v>
      </c>
      <c r="H6" s="5" t="s">
        <v>407</v>
      </c>
      <c r="I6" s="5" t="s">
        <v>408</v>
      </c>
      <c r="J6" s="5" t="s">
        <v>409</v>
      </c>
    </row>
    <row r="7" customFormat="false" ht="19.5" hidden="false" customHeight="true" outlineLevel="0" collapsed="false">
      <c r="A7" s="10" t="s">
        <v>410</v>
      </c>
      <c r="B7" s="11" t="s">
        <v>411</v>
      </c>
      <c r="C7" s="10" t="s">
        <v>412</v>
      </c>
      <c r="D7" s="10" t="s">
        <v>413</v>
      </c>
      <c r="E7" s="10" t="s">
        <v>414</v>
      </c>
      <c r="F7" s="10" t="s">
        <v>415</v>
      </c>
      <c r="G7" s="10" t="s">
        <v>50</v>
      </c>
      <c r="H7" s="10" t="s">
        <v>388</v>
      </c>
      <c r="I7" s="10" t="s">
        <v>389</v>
      </c>
      <c r="J7" s="10" t="s">
        <v>416</v>
      </c>
    </row>
    <row r="8" customFormat="false" ht="19.5" hidden="false" customHeight="true" outlineLevel="0" collapsed="false">
      <c r="A8" s="5" t="s">
        <v>417</v>
      </c>
      <c r="B8" s="6" t="s">
        <v>418</v>
      </c>
      <c r="C8" s="5" t="s">
        <v>419</v>
      </c>
      <c r="D8" s="5" t="s">
        <v>420</v>
      </c>
      <c r="E8" s="5" t="s">
        <v>421</v>
      </c>
      <c r="F8" s="5" t="s">
        <v>422</v>
      </c>
      <c r="G8" s="5" t="s">
        <v>94</v>
      </c>
      <c r="H8" s="5" t="s">
        <v>388</v>
      </c>
      <c r="I8" s="5" t="s">
        <v>389</v>
      </c>
      <c r="J8" s="5" t="s">
        <v>423</v>
      </c>
    </row>
    <row r="9" customFormat="false" ht="19.5" hidden="false" customHeight="true" outlineLevel="0" collapsed="false">
      <c r="A9" s="10" t="s">
        <v>424</v>
      </c>
      <c r="B9" s="11" t="s">
        <v>425</v>
      </c>
      <c r="C9" s="10" t="s">
        <v>426</v>
      </c>
      <c r="D9" s="10" t="s">
        <v>427</v>
      </c>
      <c r="E9" s="10" t="s">
        <v>428</v>
      </c>
      <c r="F9" s="10" t="s">
        <v>429</v>
      </c>
      <c r="G9" s="10" t="s">
        <v>430</v>
      </c>
      <c r="H9" s="10" t="s">
        <v>388</v>
      </c>
      <c r="I9" s="10" t="s">
        <v>398</v>
      </c>
      <c r="J9" s="10" t="s">
        <v>431</v>
      </c>
    </row>
    <row r="10" customFormat="false" ht="19.5" hidden="false" customHeight="true" outlineLevel="0" collapsed="false">
      <c r="A10" s="5" t="s">
        <v>432</v>
      </c>
      <c r="B10" s="6" t="s">
        <v>433</v>
      </c>
      <c r="C10" s="5" t="s">
        <v>434</v>
      </c>
      <c r="D10" s="5" t="s">
        <v>435</v>
      </c>
      <c r="E10" s="5" t="s">
        <v>436</v>
      </c>
      <c r="F10" s="5" t="s">
        <v>437</v>
      </c>
      <c r="G10" s="5" t="s">
        <v>438</v>
      </c>
      <c r="H10" s="5" t="s">
        <v>388</v>
      </c>
      <c r="I10" s="5" t="s">
        <v>389</v>
      </c>
      <c r="J10" s="5" t="s">
        <v>439</v>
      </c>
    </row>
    <row r="11" customFormat="false" ht="19.5" hidden="false" customHeight="true" outlineLevel="0" collapsed="false">
      <c r="A11" s="10" t="s">
        <v>440</v>
      </c>
      <c r="B11" s="11" t="s">
        <v>441</v>
      </c>
      <c r="C11" s="10" t="s">
        <v>442</v>
      </c>
      <c r="D11" s="10" t="s">
        <v>443</v>
      </c>
      <c r="E11" s="10" t="s">
        <v>444</v>
      </c>
      <c r="F11" s="10" t="s">
        <v>445</v>
      </c>
      <c r="G11" s="10" t="s">
        <v>446</v>
      </c>
      <c r="H11" s="10" t="s">
        <v>388</v>
      </c>
      <c r="I11" s="10" t="s">
        <v>447</v>
      </c>
      <c r="J11" s="10" t="s">
        <v>448</v>
      </c>
    </row>
    <row r="12" customFormat="false" ht="19.5" hidden="false" customHeight="true" outlineLevel="0" collapsed="false">
      <c r="A12" s="5" t="s">
        <v>449</v>
      </c>
      <c r="B12" s="6" t="s">
        <v>77</v>
      </c>
      <c r="C12" s="5" t="s">
        <v>450</v>
      </c>
      <c r="D12" s="5" t="s">
        <v>451</v>
      </c>
      <c r="E12" s="5" t="s">
        <v>452</v>
      </c>
      <c r="F12" s="5" t="s">
        <v>453</v>
      </c>
      <c r="G12" s="5" t="s">
        <v>76</v>
      </c>
      <c r="H12" s="5" t="s">
        <v>407</v>
      </c>
      <c r="I12" s="5" t="s">
        <v>398</v>
      </c>
      <c r="J12" s="5" t="s">
        <v>454</v>
      </c>
    </row>
    <row r="13" customFormat="false" ht="19.5" hidden="false" customHeight="true" outlineLevel="0" collapsed="false">
      <c r="A13" s="10" t="s">
        <v>455</v>
      </c>
      <c r="B13" s="11" t="s">
        <v>456</v>
      </c>
      <c r="C13" s="10" t="s">
        <v>457</v>
      </c>
      <c r="D13" s="10" t="s">
        <v>458</v>
      </c>
      <c r="E13" s="10" t="s">
        <v>459</v>
      </c>
      <c r="F13" s="10" t="s">
        <v>460</v>
      </c>
      <c r="G13" s="10" t="s">
        <v>115</v>
      </c>
      <c r="H13" s="10" t="s">
        <v>388</v>
      </c>
      <c r="I13" s="10" t="s">
        <v>389</v>
      </c>
      <c r="J13" s="10" t="s">
        <v>461</v>
      </c>
    </row>
    <row r="14" customFormat="false" ht="19.5" hidden="false" customHeight="true" outlineLevel="0" collapsed="false">
      <c r="A14" s="5" t="s">
        <v>462</v>
      </c>
      <c r="B14" s="6" t="s">
        <v>463</v>
      </c>
      <c r="C14" s="5"/>
      <c r="D14" s="5" t="s">
        <v>464</v>
      </c>
      <c r="E14" s="5"/>
      <c r="F14" s="5" t="s">
        <v>465</v>
      </c>
      <c r="G14" s="5" t="s">
        <v>466</v>
      </c>
      <c r="H14" s="5" t="s">
        <v>388</v>
      </c>
      <c r="I14" s="5" t="s">
        <v>389</v>
      </c>
      <c r="J14" s="5" t="s">
        <v>467</v>
      </c>
    </row>
    <row r="15" customFormat="false" ht="19.5" hidden="false" customHeight="true" outlineLevel="0" collapsed="false">
      <c r="A15" s="10" t="s">
        <v>468</v>
      </c>
      <c r="B15" s="11" t="s">
        <v>469</v>
      </c>
      <c r="C15" s="10"/>
      <c r="D15" s="10" t="s">
        <v>470</v>
      </c>
      <c r="E15" s="10"/>
      <c r="F15" s="10" t="s">
        <v>471</v>
      </c>
      <c r="G15" s="10" t="s">
        <v>472</v>
      </c>
      <c r="H15" s="10" t="s">
        <v>388</v>
      </c>
      <c r="I15" s="10" t="s">
        <v>473</v>
      </c>
      <c r="J15" s="10" t="s">
        <v>474</v>
      </c>
    </row>
    <row r="16" customFormat="false" ht="19.5" hidden="false" customHeight="true" outlineLevel="0" collapsed="false">
      <c r="A16" s="5" t="s">
        <v>475</v>
      </c>
      <c r="B16" s="6" t="s">
        <v>476</v>
      </c>
      <c r="C16" s="5"/>
      <c r="D16" s="5" t="s">
        <v>470</v>
      </c>
      <c r="E16" s="5"/>
      <c r="F16" s="5"/>
      <c r="G16" s="5" t="s">
        <v>477</v>
      </c>
      <c r="H16" s="5" t="s">
        <v>388</v>
      </c>
      <c r="I16" s="5" t="s">
        <v>389</v>
      </c>
      <c r="J16" s="5" t="s">
        <v>478</v>
      </c>
    </row>
    <row r="17" customFormat="false" ht="19.5" hidden="false" customHeight="true" outlineLevel="0" collapsed="false">
      <c r="A17" s="10" t="s">
        <v>479</v>
      </c>
      <c r="B17" s="11" t="s">
        <v>356</v>
      </c>
      <c r="C17" s="10"/>
      <c r="D17" s="10" t="s">
        <v>480</v>
      </c>
      <c r="E17" s="10"/>
      <c r="F17" s="10" t="s">
        <v>481</v>
      </c>
      <c r="G17" s="10" t="s">
        <v>482</v>
      </c>
      <c r="H17" s="10" t="s">
        <v>483</v>
      </c>
      <c r="I17" s="10" t="s">
        <v>484</v>
      </c>
      <c r="J17" s="10" t="s">
        <v>485</v>
      </c>
    </row>
    <row r="18" customFormat="false" ht="19.5" hidden="false" customHeight="true" outlineLevel="0" collapsed="false">
      <c r="A18" s="5" t="s">
        <v>486</v>
      </c>
      <c r="B18" s="6" t="s">
        <v>487</v>
      </c>
      <c r="C18" s="5"/>
      <c r="D18" s="5" t="s">
        <v>470</v>
      </c>
      <c r="E18" s="5"/>
      <c r="F18" s="5" t="s">
        <v>488</v>
      </c>
      <c r="G18" s="5" t="s">
        <v>489</v>
      </c>
      <c r="H18" s="5" t="s">
        <v>388</v>
      </c>
      <c r="I18" s="5" t="s">
        <v>389</v>
      </c>
      <c r="J18" s="5" t="s">
        <v>490</v>
      </c>
    </row>
    <row r="19" customFormat="false" ht="19.5" hidden="false" customHeight="true" outlineLevel="0" collapsed="false">
      <c r="A19" s="10" t="s">
        <v>491</v>
      </c>
      <c r="B19" s="11" t="s">
        <v>492</v>
      </c>
      <c r="C19" s="10"/>
      <c r="D19" s="10" t="s">
        <v>470</v>
      </c>
      <c r="E19" s="10"/>
      <c r="F19" s="10" t="s">
        <v>493</v>
      </c>
      <c r="G19" s="10" t="s">
        <v>494</v>
      </c>
      <c r="H19" s="10" t="s">
        <v>388</v>
      </c>
      <c r="I19" s="10" t="s">
        <v>495</v>
      </c>
      <c r="J19" s="10" t="s">
        <v>496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00"/>
    <pageSetUpPr fitToPage="false"/>
  </sheetPr>
  <dimension ref="A1:L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30"/>
    <col collapsed="false" customWidth="true" hidden="false" outlineLevel="0" max="5" min="5" style="1" width="22"/>
    <col collapsed="false" customWidth="true" hidden="false" outlineLevel="0" max="6" min="6" style="1" width="10"/>
    <col collapsed="false" customWidth="true" hidden="false" outlineLevel="0" max="7" min="7" style="1" width="14"/>
    <col collapsed="false" customWidth="true" hidden="false" outlineLevel="0" max="8" min="8" style="1" width="16"/>
    <col collapsed="false" customWidth="true" hidden="false" outlineLevel="0" max="9" min="9" style="1" width="8"/>
    <col collapsed="false" customWidth="true" hidden="false" outlineLevel="0" max="11" min="10" style="1" width="16"/>
    <col collapsed="false" customWidth="true" hidden="false" outlineLevel="0" max="12" min="12" style="1" width="28"/>
  </cols>
  <sheetData>
    <row r="1" customFormat="false" ht="39.75" hidden="false" customHeight="true" outlineLevel="0" collapsed="false">
      <c r="A1" s="2" t="s">
        <v>497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34.5" hidden="false" customHeight="true" outlineLevel="0" collapsed="false">
      <c r="A2" s="3" t="s">
        <v>498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7.5" hidden="false" customHeight="true" outlineLevel="0" collapsed="false">
      <c r="A3" s="4" t="s">
        <v>499</v>
      </c>
      <c r="B3" s="4" t="s">
        <v>500</v>
      </c>
      <c r="C3" s="4" t="s">
        <v>501</v>
      </c>
      <c r="D3" s="4" t="s">
        <v>502</v>
      </c>
      <c r="E3" s="4" t="s">
        <v>5</v>
      </c>
      <c r="F3" s="4" t="s">
        <v>503</v>
      </c>
      <c r="G3" s="4" t="s">
        <v>504</v>
      </c>
      <c r="H3" s="4" t="s">
        <v>505</v>
      </c>
      <c r="I3" s="4" t="s">
        <v>10</v>
      </c>
      <c r="J3" s="4" t="s">
        <v>506</v>
      </c>
      <c r="K3" s="4" t="s">
        <v>507</v>
      </c>
      <c r="L3" s="4" t="s">
        <v>15</v>
      </c>
    </row>
    <row r="4" customFormat="false" ht="19.5" hidden="false" customHeight="true" outlineLevel="0" collapsed="false">
      <c r="A4" s="17" t="s">
        <v>508</v>
      </c>
      <c r="B4" s="17"/>
      <c r="C4" s="17"/>
      <c r="D4" s="17"/>
      <c r="E4" s="17"/>
      <c r="F4" s="17"/>
      <c r="G4" s="17"/>
      <c r="H4" s="18" t="n">
        <f aca="false">F4*G4</f>
        <v>0</v>
      </c>
      <c r="I4" s="19"/>
      <c r="J4" s="18" t="n">
        <f aca="false">H4*(1+I4)</f>
        <v>0</v>
      </c>
      <c r="K4" s="10"/>
      <c r="L4" s="17"/>
    </row>
    <row r="5" customFormat="false" ht="19.5" hidden="false" customHeight="true" outlineLevel="0" collapsed="false">
      <c r="A5" s="17" t="s">
        <v>509</v>
      </c>
      <c r="B5" s="17"/>
      <c r="C5" s="17"/>
      <c r="D5" s="17"/>
      <c r="E5" s="17"/>
      <c r="F5" s="17"/>
      <c r="G5" s="17"/>
      <c r="H5" s="18" t="n">
        <f aca="false">F5*G5</f>
        <v>0</v>
      </c>
      <c r="I5" s="19"/>
      <c r="J5" s="18" t="n">
        <f aca="false">H5*(1+I5)</f>
        <v>0</v>
      </c>
      <c r="K5" s="10"/>
      <c r="L5" s="17"/>
    </row>
    <row r="6" customFormat="false" ht="19.5" hidden="false" customHeight="true" outlineLevel="0" collapsed="false">
      <c r="A6" s="17" t="s">
        <v>510</v>
      </c>
      <c r="B6" s="17"/>
      <c r="C6" s="17"/>
      <c r="D6" s="17"/>
      <c r="E6" s="17"/>
      <c r="F6" s="17"/>
      <c r="G6" s="17"/>
      <c r="H6" s="18" t="n">
        <f aca="false">F6*G6</f>
        <v>0</v>
      </c>
      <c r="I6" s="19"/>
      <c r="J6" s="18" t="n">
        <f aca="false">H6*(1+I6)</f>
        <v>0</v>
      </c>
      <c r="K6" s="10"/>
      <c r="L6" s="17"/>
    </row>
    <row r="7" customFormat="false" ht="19.5" hidden="false" customHeight="true" outlineLevel="0" collapsed="false">
      <c r="A7" s="17" t="s">
        <v>511</v>
      </c>
      <c r="B7" s="17"/>
      <c r="C7" s="17"/>
      <c r="D7" s="17"/>
      <c r="E7" s="17"/>
      <c r="F7" s="17"/>
      <c r="G7" s="17"/>
      <c r="H7" s="18" t="n">
        <f aca="false">F7*G7</f>
        <v>0</v>
      </c>
      <c r="I7" s="19"/>
      <c r="J7" s="18" t="n">
        <f aca="false">H7*(1+I7)</f>
        <v>0</v>
      </c>
      <c r="K7" s="10"/>
      <c r="L7" s="17"/>
    </row>
    <row r="8" customFormat="false" ht="19.5" hidden="false" customHeight="true" outlineLevel="0" collapsed="false">
      <c r="A8" s="17" t="s">
        <v>512</v>
      </c>
      <c r="B8" s="17"/>
      <c r="C8" s="17"/>
      <c r="D8" s="17"/>
      <c r="E8" s="17"/>
      <c r="F8" s="17"/>
      <c r="G8" s="17"/>
      <c r="H8" s="18" t="n">
        <f aca="false">F8*G8</f>
        <v>0</v>
      </c>
      <c r="I8" s="19"/>
      <c r="J8" s="18" t="n">
        <f aca="false">H8*(1+I8)</f>
        <v>0</v>
      </c>
      <c r="K8" s="10"/>
      <c r="L8" s="17"/>
    </row>
    <row r="9" customFormat="false" ht="19.5" hidden="false" customHeight="true" outlineLevel="0" collapsed="false">
      <c r="A9" s="17" t="s">
        <v>513</v>
      </c>
      <c r="B9" s="17"/>
      <c r="C9" s="17"/>
      <c r="D9" s="17"/>
      <c r="E9" s="17"/>
      <c r="F9" s="17"/>
      <c r="G9" s="17"/>
      <c r="H9" s="18" t="n">
        <f aca="false">F9*G9</f>
        <v>0</v>
      </c>
      <c r="I9" s="19"/>
      <c r="J9" s="18" t="n">
        <f aca="false">H9*(1+I9)</f>
        <v>0</v>
      </c>
      <c r="K9" s="10"/>
      <c r="L9" s="17"/>
    </row>
    <row r="10" customFormat="false" ht="19.5" hidden="false" customHeight="true" outlineLevel="0" collapsed="false">
      <c r="A10" s="17" t="s">
        <v>514</v>
      </c>
      <c r="B10" s="17"/>
      <c r="C10" s="17"/>
      <c r="D10" s="17"/>
      <c r="E10" s="17"/>
      <c r="F10" s="17"/>
      <c r="G10" s="17"/>
      <c r="H10" s="18" t="n">
        <f aca="false">F10*G10</f>
        <v>0</v>
      </c>
      <c r="I10" s="19"/>
      <c r="J10" s="18" t="n">
        <f aca="false">H10*(1+I10)</f>
        <v>0</v>
      </c>
      <c r="K10" s="10"/>
      <c r="L10" s="17"/>
    </row>
    <row r="11" customFormat="false" ht="19.5" hidden="false" customHeight="true" outlineLevel="0" collapsed="false">
      <c r="A11" s="17" t="s">
        <v>515</v>
      </c>
      <c r="B11" s="17"/>
      <c r="C11" s="17"/>
      <c r="D11" s="17"/>
      <c r="E11" s="17"/>
      <c r="F11" s="17"/>
      <c r="G11" s="17"/>
      <c r="H11" s="18" t="n">
        <f aca="false">F11*G11</f>
        <v>0</v>
      </c>
      <c r="I11" s="19"/>
      <c r="J11" s="18" t="n">
        <f aca="false">H11*(1+I11)</f>
        <v>0</v>
      </c>
      <c r="K11" s="10"/>
      <c r="L11" s="17"/>
    </row>
    <row r="12" customFormat="false" ht="19.5" hidden="false" customHeight="true" outlineLevel="0" collapsed="false">
      <c r="A12" s="17" t="s">
        <v>516</v>
      </c>
      <c r="B12" s="17"/>
      <c r="C12" s="17"/>
      <c r="D12" s="17"/>
      <c r="E12" s="17"/>
      <c r="F12" s="17"/>
      <c r="G12" s="17"/>
      <c r="H12" s="18" t="n">
        <f aca="false">F12*G12</f>
        <v>0</v>
      </c>
      <c r="I12" s="19"/>
      <c r="J12" s="18" t="n">
        <f aca="false">H12*(1+I12)</f>
        <v>0</v>
      </c>
      <c r="K12" s="10"/>
      <c r="L12" s="17"/>
    </row>
    <row r="13" customFormat="false" ht="19.5" hidden="false" customHeight="true" outlineLevel="0" collapsed="false">
      <c r="A13" s="17" t="s">
        <v>517</v>
      </c>
      <c r="B13" s="17"/>
      <c r="C13" s="17"/>
      <c r="D13" s="17"/>
      <c r="E13" s="17"/>
      <c r="F13" s="17"/>
      <c r="G13" s="17"/>
      <c r="H13" s="18" t="n">
        <f aca="false">F13*G13</f>
        <v>0</v>
      </c>
      <c r="I13" s="19"/>
      <c r="J13" s="18" t="n">
        <f aca="false">H13*(1+I13)</f>
        <v>0</v>
      </c>
      <c r="K13" s="10"/>
      <c r="L13" s="17"/>
    </row>
    <row r="14" customFormat="false" ht="15" hidden="false" customHeight="true" outlineLevel="0" collapsed="false">
      <c r="A14" s="20" t="s">
        <v>518</v>
      </c>
      <c r="B14" s="20"/>
      <c r="C14" s="20"/>
      <c r="D14" s="20"/>
      <c r="E14" s="20"/>
      <c r="F14" s="20"/>
      <c r="G14" s="20"/>
      <c r="H14" s="21" t="n">
        <f aca="false">SUM(H4:H13)</f>
        <v>0</v>
      </c>
      <c r="J14" s="21" t="n">
        <f aca="false">SUM(J4:J13)</f>
        <v>0</v>
      </c>
    </row>
  </sheetData>
  <mergeCells count="3">
    <mergeCell ref="A1:L1"/>
    <mergeCell ref="A2:L2"/>
    <mergeCell ref="A14:G14"/>
  </mergeCells>
  <conditionalFormatting sqref="K4:K13">
    <cfRule type="cellIs" priority="2" operator="equal" aboveAverage="0" equalAverage="0" bottom="0" percent="0" rank="0" text="" dxfId="1">
      <formula>"RECIBIDO"</formula>
    </cfRule>
    <cfRule type="cellIs" priority="3" operator="equal" aboveAverage="0" equalAverage="0" bottom="0" percent="0" rank="0" text="" dxfId="2">
      <formula>"PENDIENTE"</formula>
    </cfRule>
    <cfRule type="cellIs" priority="4" operator="equal" aboveAverage="0" equalAverage="0" bottom="0" percent="0" rank="0" text="" dxfId="0">
      <formula>"INCIDENCIA"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6600"/>
    <pageSetUpPr fitToPage="false"/>
  </sheetPr>
  <dimension ref="A1:M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28"/>
    <col collapsed="false" customWidth="true" hidden="false" outlineLevel="0" max="7" min="6" style="1" width="10"/>
    <col collapsed="false" customWidth="true" hidden="false" outlineLevel="0" max="11" min="8" style="1" width="14"/>
    <col collapsed="false" customWidth="true" hidden="false" outlineLevel="0" max="12" min="12" style="1" width="18"/>
    <col collapsed="false" customWidth="true" hidden="false" outlineLevel="0" max="13" min="13" style="1" width="28"/>
  </cols>
  <sheetData>
    <row r="1" customFormat="false" ht="39.75" hidden="false" customHeight="true" outlineLevel="0" collapsed="false">
      <c r="A1" s="2" t="s">
        <v>519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34.5" hidden="false" customHeight="true" outlineLevel="0" collapsed="false">
      <c r="A2" s="3" t="s">
        <v>520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37.5" hidden="false" customHeight="true" outlineLevel="0" collapsed="false">
      <c r="A3" s="4" t="s">
        <v>521</v>
      </c>
      <c r="B3" s="4" t="s">
        <v>522</v>
      </c>
      <c r="C3" s="4" t="s">
        <v>523</v>
      </c>
      <c r="D3" s="4" t="s">
        <v>2</v>
      </c>
      <c r="E3" s="4" t="s">
        <v>502</v>
      </c>
      <c r="F3" s="4" t="s">
        <v>503</v>
      </c>
      <c r="G3" s="4" t="s">
        <v>524</v>
      </c>
      <c r="H3" s="4" t="s">
        <v>525</v>
      </c>
      <c r="I3" s="4" t="s">
        <v>526</v>
      </c>
      <c r="J3" s="4" t="s">
        <v>527</v>
      </c>
      <c r="K3" s="4" t="s">
        <v>528</v>
      </c>
      <c r="L3" s="4" t="s">
        <v>529</v>
      </c>
      <c r="M3" s="4" t="s">
        <v>15</v>
      </c>
    </row>
    <row r="4" customFormat="false" ht="19.5" hidden="false" customHeight="true" outlineLevel="0" collapsed="false">
      <c r="A4" s="17"/>
      <c r="B4" s="17"/>
      <c r="C4" s="17"/>
      <c r="D4" s="17"/>
      <c r="E4" s="17"/>
      <c r="F4" s="17"/>
      <c r="G4" s="17"/>
      <c r="H4" s="17"/>
      <c r="I4" s="17"/>
      <c r="J4" s="18" t="n">
        <f aca="false">I4-H4</f>
        <v>0</v>
      </c>
      <c r="K4" s="22" t="n">
        <f aca="false">G4-F4</f>
        <v>0</v>
      </c>
      <c r="L4" s="23" t="str">
        <f aca="false">IF(AND(J4=0,K4=0),"✓ CONFORME",IF(OR(J4&lt;&gt;0,K4&lt;&gt;0),"⚠ REVISAR","—"))</f>
        <v>✓ CONFORME</v>
      </c>
      <c r="M4" s="10"/>
    </row>
    <row r="5" customFormat="false" ht="19.5" hidden="false" customHeight="true" outlineLevel="0" collapsed="false">
      <c r="A5" s="17"/>
      <c r="B5" s="17"/>
      <c r="C5" s="17"/>
      <c r="D5" s="17"/>
      <c r="E5" s="17"/>
      <c r="F5" s="17"/>
      <c r="G5" s="17"/>
      <c r="H5" s="17"/>
      <c r="I5" s="17"/>
      <c r="J5" s="18" t="n">
        <f aca="false">I5-H5</f>
        <v>0</v>
      </c>
      <c r="K5" s="22" t="n">
        <f aca="false">G5-F5</f>
        <v>0</v>
      </c>
      <c r="L5" s="23" t="str">
        <f aca="false">IF(AND(J5=0,K5=0),"✓ CONFORME",IF(OR(J5&lt;&gt;0,K5&lt;&gt;0),"⚠ REVISAR","—"))</f>
        <v>✓ CONFORME</v>
      </c>
      <c r="M5" s="10"/>
    </row>
    <row r="6" customFormat="false" ht="19.5" hidden="false" customHeight="true" outlineLevel="0" collapsed="false">
      <c r="A6" s="17"/>
      <c r="B6" s="17"/>
      <c r="C6" s="17"/>
      <c r="D6" s="17"/>
      <c r="E6" s="17"/>
      <c r="F6" s="17"/>
      <c r="G6" s="17"/>
      <c r="H6" s="17"/>
      <c r="I6" s="17"/>
      <c r="J6" s="18" t="n">
        <f aca="false">I6-H6</f>
        <v>0</v>
      </c>
      <c r="K6" s="22" t="n">
        <f aca="false">G6-F6</f>
        <v>0</v>
      </c>
      <c r="L6" s="23" t="str">
        <f aca="false">IF(AND(J6=0,K6=0),"✓ CONFORME",IF(OR(J6&lt;&gt;0,K6&lt;&gt;0),"⚠ REVISAR","—"))</f>
        <v>✓ CONFORME</v>
      </c>
      <c r="M6" s="10"/>
    </row>
    <row r="7" customFormat="false" ht="19.5" hidden="false" customHeight="true" outlineLevel="0" collapsed="false">
      <c r="A7" s="17"/>
      <c r="B7" s="17"/>
      <c r="C7" s="17"/>
      <c r="D7" s="17"/>
      <c r="E7" s="17"/>
      <c r="F7" s="17"/>
      <c r="G7" s="17"/>
      <c r="H7" s="17"/>
      <c r="I7" s="17"/>
      <c r="J7" s="18" t="n">
        <f aca="false">I7-H7</f>
        <v>0</v>
      </c>
      <c r="K7" s="22" t="n">
        <f aca="false">G7-F7</f>
        <v>0</v>
      </c>
      <c r="L7" s="23" t="str">
        <f aca="false">IF(AND(J7=0,K7=0),"✓ CONFORME",IF(OR(J7&lt;&gt;0,K7&lt;&gt;0),"⚠ REVISAR","—"))</f>
        <v>✓ CONFORME</v>
      </c>
      <c r="M7" s="10"/>
    </row>
    <row r="8" customFormat="false" ht="19.5" hidden="false" customHeight="true" outlineLevel="0" collapsed="false">
      <c r="A8" s="17"/>
      <c r="B8" s="17"/>
      <c r="C8" s="17"/>
      <c r="D8" s="17"/>
      <c r="E8" s="17"/>
      <c r="F8" s="17"/>
      <c r="G8" s="17"/>
      <c r="H8" s="17"/>
      <c r="I8" s="17"/>
      <c r="J8" s="18" t="n">
        <f aca="false">I8-H8</f>
        <v>0</v>
      </c>
      <c r="K8" s="22" t="n">
        <f aca="false">G8-F8</f>
        <v>0</v>
      </c>
      <c r="L8" s="23" t="str">
        <f aca="false">IF(AND(J8=0,K8=0),"✓ CONFORME",IF(OR(J8&lt;&gt;0,K8&lt;&gt;0),"⚠ REVISAR","—"))</f>
        <v>✓ CONFORME</v>
      </c>
      <c r="M8" s="10"/>
    </row>
    <row r="9" customFormat="false" ht="19.5" hidden="false" customHeight="true" outlineLevel="0" collapsed="false">
      <c r="A9" s="17"/>
      <c r="B9" s="17"/>
      <c r="C9" s="17"/>
      <c r="D9" s="17"/>
      <c r="E9" s="17"/>
      <c r="F9" s="17"/>
      <c r="G9" s="17"/>
      <c r="H9" s="17"/>
      <c r="I9" s="17"/>
      <c r="J9" s="18" t="n">
        <f aca="false">I9-H9</f>
        <v>0</v>
      </c>
      <c r="K9" s="22" t="n">
        <f aca="false">G9-F9</f>
        <v>0</v>
      </c>
      <c r="L9" s="23" t="str">
        <f aca="false">IF(AND(J9=0,K9=0),"✓ CONFORME",IF(OR(J9&lt;&gt;0,K9&lt;&gt;0),"⚠ REVISAR","—"))</f>
        <v>✓ CONFORME</v>
      </c>
      <c r="M9" s="10"/>
    </row>
    <row r="10" customFormat="false" ht="19.5" hidden="false" customHeight="true" outlineLevel="0" collapsed="false">
      <c r="A10" s="17"/>
      <c r="B10" s="17"/>
      <c r="C10" s="17"/>
      <c r="D10" s="17"/>
      <c r="E10" s="17"/>
      <c r="F10" s="17"/>
      <c r="G10" s="17"/>
      <c r="H10" s="17"/>
      <c r="I10" s="17"/>
      <c r="J10" s="18" t="n">
        <f aca="false">I10-H10</f>
        <v>0</v>
      </c>
      <c r="K10" s="22" t="n">
        <f aca="false">G10-F10</f>
        <v>0</v>
      </c>
      <c r="L10" s="23" t="str">
        <f aca="false">IF(AND(J10=0,K10=0),"✓ CONFORME",IF(OR(J10&lt;&gt;0,K10&lt;&gt;0),"⚠ REVISAR","—"))</f>
        <v>✓ CONFORME</v>
      </c>
      <c r="M10" s="10"/>
    </row>
    <row r="11" customFormat="false" ht="19.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18" t="n">
        <f aca="false">I11-H11</f>
        <v>0</v>
      </c>
      <c r="K11" s="22" t="n">
        <f aca="false">G11-F11</f>
        <v>0</v>
      </c>
      <c r="L11" s="23" t="str">
        <f aca="false">IF(AND(J11=0,K11=0),"✓ CONFORME",IF(OR(J11&lt;&gt;0,K11&lt;&gt;0),"⚠ REVISAR","—"))</f>
        <v>✓ CONFORME</v>
      </c>
      <c r="M11" s="10"/>
    </row>
    <row r="12" customFormat="false" ht="19.5" hidden="false" customHeight="true" outlineLevel="0" collapsed="false">
      <c r="A12" s="17"/>
      <c r="B12" s="17"/>
      <c r="C12" s="17"/>
      <c r="D12" s="17"/>
      <c r="E12" s="17"/>
      <c r="F12" s="17"/>
      <c r="G12" s="17"/>
      <c r="H12" s="17"/>
      <c r="I12" s="17"/>
      <c r="J12" s="18" t="n">
        <f aca="false">I12-H12</f>
        <v>0</v>
      </c>
      <c r="K12" s="22" t="n">
        <f aca="false">G12-F12</f>
        <v>0</v>
      </c>
      <c r="L12" s="23" t="str">
        <f aca="false">IF(AND(J12=0,K12=0),"✓ CONFORME",IF(OR(J12&lt;&gt;0,K12&lt;&gt;0),"⚠ REVISAR","—"))</f>
        <v>✓ CONFORME</v>
      </c>
      <c r="M12" s="10"/>
    </row>
    <row r="13" customFormat="false" ht="19.5" hidden="false" customHeight="true" outlineLevel="0" collapsed="false">
      <c r="A13" s="17"/>
      <c r="B13" s="17"/>
      <c r="C13" s="17"/>
      <c r="D13" s="17"/>
      <c r="E13" s="17"/>
      <c r="F13" s="17"/>
      <c r="G13" s="17"/>
      <c r="H13" s="17"/>
      <c r="I13" s="17"/>
      <c r="J13" s="18" t="n">
        <f aca="false">I13-H13</f>
        <v>0</v>
      </c>
      <c r="K13" s="22" t="n">
        <f aca="false">G13-F13</f>
        <v>0</v>
      </c>
      <c r="L13" s="23" t="str">
        <f aca="false">IF(AND(J13=0,K13=0),"✓ CONFORME",IF(OR(J13&lt;&gt;0,K13&lt;&gt;0),"⚠ REVISAR","—"))</f>
        <v>✓ CONFORME</v>
      </c>
      <c r="M13" s="10"/>
    </row>
  </sheetData>
  <mergeCells count="2">
    <mergeCell ref="A1:M1"/>
    <mergeCell ref="A2:M2"/>
  </mergeCells>
  <conditionalFormatting sqref="L4:L13">
    <cfRule type="cellIs" priority="2" operator="equal" aboveAverage="0" equalAverage="0" bottom="0" percent="0" rank="0" text="" dxfId="1">
      <formula>"✓ CONFORME"</formula>
    </cfRule>
    <cfRule type="cellIs" priority="3" operator="equal" aboveAverage="0" equalAverage="0" bottom="0" percent="0" rank="0" text="" dxfId="0">
      <formula>"⚠ REVISAR"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093D"/>
    <pageSetUpPr fitToPage="false"/>
  </sheetPr>
  <dimension ref="A1:B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0"/>
  </cols>
  <sheetData>
    <row r="1" customFormat="false" ht="39.75" hidden="false" customHeight="true" outlineLevel="0" collapsed="false">
      <c r="A1" s="2" t="s">
        <v>530</v>
      </c>
      <c r="B1" s="2"/>
    </row>
    <row r="2" customFormat="false" ht="18" hidden="false" customHeight="true" outlineLevel="0" collapsed="false">
      <c r="B2" s="24"/>
    </row>
    <row r="3" customFormat="false" ht="24" hidden="false" customHeight="true" outlineLevel="0" collapsed="false">
      <c r="B3" s="25" t="s">
        <v>531</v>
      </c>
    </row>
    <row r="4" customFormat="false" ht="18" hidden="false" customHeight="true" outlineLevel="0" collapsed="false">
      <c r="B4" s="24" t="s">
        <v>532</v>
      </c>
    </row>
    <row r="5" customFormat="false" ht="18" hidden="false" customHeight="true" outlineLevel="0" collapsed="false">
      <c r="B5" s="24" t="s">
        <v>533</v>
      </c>
    </row>
    <row r="6" customFormat="false" ht="18" hidden="false" customHeight="true" outlineLevel="0" collapsed="false">
      <c r="B6" s="24"/>
    </row>
    <row r="7" customFormat="false" ht="24" hidden="false" customHeight="true" outlineLevel="0" collapsed="false">
      <c r="B7" s="25" t="s">
        <v>534</v>
      </c>
    </row>
    <row r="8" customFormat="false" ht="18" hidden="false" customHeight="true" outlineLevel="0" collapsed="false">
      <c r="B8" s="24" t="s">
        <v>535</v>
      </c>
    </row>
    <row r="9" customFormat="false" ht="18" hidden="false" customHeight="true" outlineLevel="0" collapsed="false">
      <c r="B9" s="24" t="s">
        <v>536</v>
      </c>
    </row>
    <row r="10" customFormat="false" ht="18" hidden="false" customHeight="true" outlineLevel="0" collapsed="false">
      <c r="B10" s="24" t="s">
        <v>537</v>
      </c>
    </row>
    <row r="11" customFormat="false" ht="18" hidden="false" customHeight="true" outlineLevel="0" collapsed="false">
      <c r="B11" s="24" t="s">
        <v>538</v>
      </c>
    </row>
    <row r="12" customFormat="false" ht="18" hidden="false" customHeight="true" outlineLevel="0" collapsed="false">
      <c r="B12" s="24" t="s">
        <v>539</v>
      </c>
    </row>
    <row r="13" customFormat="false" ht="18" hidden="false" customHeight="true" outlineLevel="0" collapsed="false">
      <c r="B13" s="24"/>
    </row>
    <row r="14" customFormat="false" ht="24" hidden="false" customHeight="true" outlineLevel="0" collapsed="false">
      <c r="B14" s="25" t="s">
        <v>540</v>
      </c>
    </row>
    <row r="15" customFormat="false" ht="18" hidden="false" customHeight="true" outlineLevel="0" collapsed="false">
      <c r="B15" s="24" t="s">
        <v>541</v>
      </c>
    </row>
    <row r="16" customFormat="false" ht="18" hidden="false" customHeight="true" outlineLevel="0" collapsed="false">
      <c r="B16" s="24" t="s">
        <v>542</v>
      </c>
    </row>
    <row r="17" customFormat="false" ht="18" hidden="false" customHeight="true" outlineLevel="0" collapsed="false">
      <c r="B17" s="24" t="s">
        <v>543</v>
      </c>
    </row>
    <row r="18" customFormat="false" ht="18" hidden="false" customHeight="true" outlineLevel="0" collapsed="false">
      <c r="B18" s="24" t="s">
        <v>544</v>
      </c>
    </row>
    <row r="19" customFormat="false" ht="18" hidden="false" customHeight="true" outlineLevel="0" collapsed="false">
      <c r="B19" s="24"/>
    </row>
    <row r="20" customFormat="false" ht="24" hidden="false" customHeight="true" outlineLevel="0" collapsed="false">
      <c r="B20" s="25" t="s">
        <v>545</v>
      </c>
    </row>
    <row r="21" customFormat="false" ht="18" hidden="false" customHeight="true" outlineLevel="0" collapsed="false">
      <c r="B21" s="24" t="s">
        <v>546</v>
      </c>
    </row>
    <row r="22" customFormat="false" ht="18" hidden="false" customHeight="true" outlineLevel="0" collapsed="false">
      <c r="B22" s="24" t="s">
        <v>547</v>
      </c>
    </row>
    <row r="23" customFormat="false" ht="18" hidden="false" customHeight="true" outlineLevel="0" collapsed="false">
      <c r="B23" s="24" t="s">
        <v>548</v>
      </c>
    </row>
    <row r="24" customFormat="false" ht="18" hidden="false" customHeight="true" outlineLevel="0" collapsed="false">
      <c r="B24" s="24" t="s">
        <v>549</v>
      </c>
    </row>
    <row r="25" customFormat="false" ht="18" hidden="false" customHeight="true" outlineLevel="0" collapsed="false">
      <c r="B25" s="24"/>
    </row>
    <row r="26" customFormat="false" ht="24" hidden="false" customHeight="true" outlineLevel="0" collapsed="false">
      <c r="B26" s="25" t="s">
        <v>550</v>
      </c>
    </row>
    <row r="27" customFormat="false" ht="18" hidden="false" customHeight="true" outlineLevel="0" collapsed="false">
      <c r="B27" s="24" t="s">
        <v>551</v>
      </c>
    </row>
    <row r="28" customFormat="false" ht="18" hidden="false" customHeight="true" outlineLevel="0" collapsed="false">
      <c r="B28" s="24" t="s">
        <v>552</v>
      </c>
    </row>
    <row r="29" customFormat="false" ht="18" hidden="false" customHeight="true" outlineLevel="0" collapsed="false">
      <c r="B29" s="24" t="s">
        <v>553</v>
      </c>
    </row>
    <row r="30" customFormat="false" ht="18" hidden="false" customHeight="true" outlineLevel="0" collapsed="false">
      <c r="B30" s="24" t="s">
        <v>554</v>
      </c>
    </row>
    <row r="31" customFormat="false" ht="18" hidden="false" customHeight="true" outlineLevel="0" collapsed="false">
      <c r="B31" s="24" t="s">
        <v>555</v>
      </c>
    </row>
    <row r="32" customFormat="false" ht="18" hidden="false" customHeight="true" outlineLevel="0" collapsed="false">
      <c r="B32" s="24" t="s">
        <v>556</v>
      </c>
    </row>
    <row r="33" customFormat="false" ht="18" hidden="false" customHeight="true" outlineLevel="0" collapsed="false">
      <c r="B33" s="24"/>
    </row>
    <row r="34" customFormat="false" ht="24" hidden="false" customHeight="true" outlineLevel="0" collapsed="false">
      <c r="B34" s="25" t="s">
        <v>557</v>
      </c>
    </row>
    <row r="35" customFormat="false" ht="18" hidden="false" customHeight="true" outlineLevel="0" collapsed="false">
      <c r="B35" s="24" t="s">
        <v>558</v>
      </c>
    </row>
    <row r="36" customFormat="false" ht="18" hidden="false" customHeight="true" outlineLevel="0" collapsed="false">
      <c r="B36" s="24" t="s">
        <v>559</v>
      </c>
    </row>
    <row r="37" customFormat="false" ht="18" hidden="false" customHeight="true" outlineLevel="0" collapsed="false">
      <c r="B37" s="24" t="s">
        <v>560</v>
      </c>
    </row>
    <row r="38" customFormat="false" ht="18" hidden="false" customHeight="true" outlineLevel="0" collapsed="false">
      <c r="B38" s="24" t="s">
        <v>561</v>
      </c>
    </row>
    <row r="39" customFormat="false" ht="18" hidden="false" customHeight="true" outlineLevel="0" collapsed="false">
      <c r="B39" s="24"/>
    </row>
    <row r="40" customFormat="false" ht="24" hidden="false" customHeight="true" outlineLevel="0" collapsed="false">
      <c r="B40" s="25" t="s">
        <v>562</v>
      </c>
    </row>
    <row r="41" customFormat="false" ht="18" hidden="false" customHeight="true" outlineLevel="0" collapsed="false">
      <c r="B41" s="24" t="s">
        <v>563</v>
      </c>
    </row>
    <row r="42" customFormat="false" ht="18" hidden="false" customHeight="true" outlineLevel="0" collapsed="false">
      <c r="B42" s="24" t="s">
        <v>564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2026-03-16T14:50:50Z</dcterms:created>
  <dc:creator>openpyxl</dc:creator>
  <dc:description/>
  <dc:language>en-US</dc:language>
  <cp:lastModifiedBy/>
  <dcterms:modified xsi:type="dcterms:W3CDTF">2026-03-16T16:15:47Z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